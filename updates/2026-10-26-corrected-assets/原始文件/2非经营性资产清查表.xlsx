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固定资产清查登记表-1（经营性固定资产）信息" sheetId="1" r:id="rId1"/>
  </sheets>
  <definedNames>
    <definedName name="_xlnm._FilterDatabase" localSheetId="0" hidden="1">'固定资产清查登记表-1（经营性固定资产）信息'!$A$6:$AN$88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<sst xmlns="http://schemas.openxmlformats.org/spreadsheetml/2006/main" count="819" uniqueCount="189">
  <si>
    <t>固定资产清查登记表-2（非经营性固定资产）信息</t>
  </si>
  <si>
    <t xml:space="preserve">填表人：  章霞                                                                                     填报日期：2026年7月29日                                                                                                        单位：元、个、台、㎡ </t>
  </si>
  <si>
    <t>地区</t>
  </si>
  <si>
    <t>清查单位</t>
  </si>
  <si>
    <t>类别</t>
  </si>
  <si>
    <t>名称</t>
  </si>
  <si>
    <t>构（购）建时间</t>
  </si>
  <si>
    <t>资产来源</t>
  </si>
  <si>
    <t>资产是否可拆分</t>
  </si>
  <si>
    <t>坐落或置放位置</t>
  </si>
  <si>
    <t>规格型号</t>
  </si>
  <si>
    <t>保管人</t>
  </si>
  <si>
    <t>使用情况</t>
  </si>
  <si>
    <t>账面数</t>
  </si>
  <si>
    <t>清查核实</t>
  </si>
  <si>
    <t>核实数</t>
  </si>
  <si>
    <t>是否为帮扶（扶贫）项目形成资产</t>
  </si>
  <si>
    <t>帮扶（扶贫）资产编码</t>
  </si>
  <si>
    <t>帮扶（扶贫）资产编码重复录入原因</t>
  </si>
  <si>
    <t>资产编号</t>
  </si>
  <si>
    <t>地块编码</t>
  </si>
  <si>
    <t>照片</t>
  </si>
  <si>
    <t>备注</t>
  </si>
  <si>
    <t>自用/闲置/其他/出租/出借</t>
  </si>
  <si>
    <t>出租/出借情况</t>
  </si>
  <si>
    <t>数量或建筑面积</t>
  </si>
  <si>
    <t>数量单位</t>
  </si>
  <si>
    <t>原值（元）</t>
  </si>
  <si>
    <t>累计折旧（元）</t>
  </si>
  <si>
    <t>净值（元）</t>
  </si>
  <si>
    <t>固定资产清理（元）</t>
  </si>
  <si>
    <t>盘盈+</t>
  </si>
  <si>
    <t>盘亏-</t>
  </si>
  <si>
    <t>对象</t>
  </si>
  <si>
    <t>期限</t>
  </si>
  <si>
    <t>年租金（元）</t>
  </si>
  <si>
    <t>金额（元）</t>
  </si>
  <si>
    <t>年</t>
  </si>
  <si>
    <t>月</t>
  </si>
  <si>
    <t>河南省南阳市镇平县张林镇贾庄村</t>
  </si>
  <si>
    <t>贾庄村集体经济组织</t>
  </si>
  <si>
    <r>
      <rPr>
        <sz val="48"/>
        <rFont val="Courier New"/>
        <charset val="0"/>
      </rPr>
      <t>06010000A-</t>
    </r>
    <r>
      <rPr>
        <sz val="48"/>
        <rFont val="宋体"/>
        <charset val="0"/>
      </rPr>
      <t>房屋和构筑物</t>
    </r>
  </si>
  <si>
    <t>自来水厂</t>
  </si>
  <si>
    <t>自建</t>
  </si>
  <si>
    <t>否</t>
  </si>
  <si>
    <t>贾庄村</t>
  </si>
  <si>
    <t>砖混</t>
  </si>
  <si>
    <t>张申刚</t>
  </si>
  <si>
    <t>自用</t>
  </si>
  <si>
    <t/>
  </si>
  <si>
    <t>平方米</t>
  </si>
  <si>
    <t>0</t>
  </si>
  <si>
    <t>村办公楼</t>
  </si>
  <si>
    <t>上级拨入</t>
  </si>
  <si>
    <t>卫生室</t>
  </si>
  <si>
    <t>文化广场</t>
  </si>
  <si>
    <t>水泥地坪</t>
  </si>
  <si>
    <r>
      <rPr>
        <sz val="48"/>
        <rFont val="Courier New"/>
        <charset val="0"/>
      </rPr>
      <t>06020000A-</t>
    </r>
    <r>
      <rPr>
        <sz val="48"/>
        <rFont val="宋体"/>
        <charset val="0"/>
      </rPr>
      <t>设备</t>
    </r>
  </si>
  <si>
    <t>路灯</t>
  </si>
  <si>
    <t>6米铁杆</t>
  </si>
  <si>
    <t>盏</t>
  </si>
  <si>
    <t>电脑</t>
  </si>
  <si>
    <t>自购</t>
  </si>
  <si>
    <t>台式联想电脑</t>
  </si>
  <si>
    <t>台</t>
  </si>
  <si>
    <t>打印机</t>
  </si>
  <si>
    <t>联想M7400
PRO</t>
  </si>
  <si>
    <t>监控</t>
  </si>
  <si>
    <t>海康2CD</t>
  </si>
  <si>
    <t>空调（柜机）</t>
  </si>
  <si>
    <t>格兰仕KFR-XXGW柜机</t>
  </si>
  <si>
    <t>电视机1</t>
  </si>
  <si>
    <t>海信55E3Q</t>
  </si>
  <si>
    <r>
      <rPr>
        <sz val="48"/>
        <rFont val="Courier New"/>
        <charset val="0"/>
      </rPr>
      <t>06040000A-</t>
    </r>
    <r>
      <rPr>
        <sz val="48"/>
        <rFont val="宋体"/>
        <charset val="0"/>
      </rPr>
      <t>家具和用具</t>
    </r>
  </si>
  <si>
    <t xml:space="preserve">投影机
</t>
  </si>
  <si>
    <t>联想小新100S</t>
  </si>
  <si>
    <t>张</t>
  </si>
  <si>
    <t>音响</t>
  </si>
  <si>
    <t>索尼</t>
  </si>
  <si>
    <t>06990000A-其他固定资产</t>
  </si>
  <si>
    <t>联想THINKBOOK台式</t>
  </si>
  <si>
    <t>水井及配套</t>
  </si>
  <si>
    <t>井堡（600w）</t>
  </si>
  <si>
    <t>眼</t>
  </si>
  <si>
    <r>
      <rPr>
        <sz val="48"/>
        <rFont val="Courier New"/>
        <charset val="0"/>
      </rPr>
      <t>06990000A-</t>
    </r>
    <r>
      <rPr>
        <sz val="48"/>
        <rFont val="宋体"/>
        <charset val="0"/>
      </rPr>
      <t>其他固定资产</t>
    </r>
  </si>
  <si>
    <t>井(水井及配套设施)</t>
  </si>
  <si>
    <t>21年高标准项目井</t>
  </si>
  <si>
    <t>柜式空调</t>
  </si>
  <si>
    <t>格兰仕柜机</t>
  </si>
  <si>
    <t xml:space="preserve">联想M2000W </t>
  </si>
  <si>
    <t>扩音设备</t>
  </si>
  <si>
    <t>SLK-150A</t>
  </si>
  <si>
    <t>机动三
轮垃圾车</t>
  </si>
  <si>
    <t>时风风云1号</t>
  </si>
  <si>
    <r>
      <rPr>
        <sz val="48"/>
        <rFont val="Courier New"/>
        <charset val="0"/>
      </rPr>
      <t>06030000A-</t>
    </r>
    <r>
      <rPr>
        <sz val="48"/>
        <rFont val="宋体"/>
        <charset val="0"/>
      </rPr>
      <t>图书和档案</t>
    </r>
  </si>
  <si>
    <t>电视机2</t>
  </si>
  <si>
    <t>skyeorth电视</t>
  </si>
  <si>
    <t>监控系统</t>
  </si>
  <si>
    <t>DS-2CD3T47EWDV3-L</t>
  </si>
  <si>
    <t>彩色打印机</t>
  </si>
  <si>
    <t>EPSONL3250</t>
  </si>
  <si>
    <t>黑白打印机</t>
  </si>
  <si>
    <t>联想M2000W</t>
  </si>
  <si>
    <t>空调柜机</t>
  </si>
  <si>
    <t>格力3P</t>
  </si>
  <si>
    <t>电脑显示屏</t>
  </si>
  <si>
    <t>DELL台式电脑显示屏</t>
  </si>
  <si>
    <t>个</t>
  </si>
  <si>
    <t>座</t>
  </si>
  <si>
    <t>书案</t>
  </si>
  <si>
    <t>1.m*1.6m木质</t>
  </si>
  <si>
    <t>办公桌</t>
  </si>
  <si>
    <t>80X120木质</t>
  </si>
  <si>
    <t>会议案</t>
  </si>
  <si>
    <t>1.6m*6m木质</t>
  </si>
  <si>
    <t>办公椅</t>
  </si>
  <si>
    <t>皮质</t>
  </si>
  <si>
    <t>铁皮文件柜</t>
  </si>
  <si>
    <t>1. 5m*2 m铁制</t>
  </si>
  <si>
    <t>饮水机</t>
  </si>
  <si>
    <t>1.5m自动</t>
  </si>
  <si>
    <t>皮鼓</t>
  </si>
  <si>
    <t>PG-18</t>
  </si>
  <si>
    <t>空调挂机</t>
  </si>
  <si>
    <t>1.5匹挂机</t>
  </si>
  <si>
    <t>应急广播系统</t>
  </si>
  <si>
    <t>铝合金YH25-1</t>
  </si>
  <si>
    <t>仿皮沙
发（套 )</t>
  </si>
  <si>
    <t>2m铁制</t>
  </si>
  <si>
    <t>把</t>
  </si>
  <si>
    <t>吊扇</t>
  </si>
  <si>
    <t>新飞56寸</t>
  </si>
  <si>
    <t>木椅</t>
  </si>
  <si>
    <t>木质</t>
  </si>
  <si>
    <t>条形桌</t>
  </si>
  <si>
    <t>1. 2米木质</t>
  </si>
  <si>
    <t>图书</t>
  </si>
  <si>
    <t>册</t>
  </si>
  <si>
    <t>读书桌（含6把椅子）</t>
  </si>
  <si>
    <t>1.8m*1.2m</t>
  </si>
  <si>
    <t>不锈钢展示架</t>
  </si>
  <si>
    <t>1.8mx2.4m不锈钢</t>
  </si>
  <si>
    <t>高拍仪</t>
  </si>
  <si>
    <t>V7.0.3</t>
  </si>
  <si>
    <t>硬化道路</t>
  </si>
  <si>
    <t>3.5mx1.8m</t>
  </si>
  <si>
    <t>米</t>
  </si>
  <si>
    <t>西张家文化广场</t>
  </si>
  <si>
    <t>水泥</t>
  </si>
  <si>
    <t>柜机空调</t>
  </si>
  <si>
    <t>会议桌1</t>
  </si>
  <si>
    <t>3m*2m木质</t>
  </si>
  <si>
    <t>会议桌2</t>
  </si>
  <si>
    <t>5m*2*木质</t>
  </si>
  <si>
    <t>茶水机</t>
  </si>
  <si>
    <t>立式不锈钢</t>
  </si>
  <si>
    <t>1.2m*1m木质</t>
  </si>
  <si>
    <t>茶几</t>
  </si>
  <si>
    <t>针织海绵</t>
  </si>
  <si>
    <t>进地桥</t>
  </si>
  <si>
    <t>3.5m*2.8m</t>
  </si>
  <si>
    <t>旗杆</t>
  </si>
  <si>
    <t>3m铁杆</t>
  </si>
  <si>
    <t>水塔罐</t>
  </si>
  <si>
    <t>合计</t>
  </si>
  <si>
    <t xml:space="preserve">    </t>
  </si>
  <si>
    <t>表格填写说明：</t>
  </si>
  <si>
    <t>资产定义：农村集体经济组织的固定资产包括使用年限在一年以上的房屋、建筑物、机器、设备、工具、器具、生产设施和农业农村基础设施等。</t>
  </si>
  <si>
    <t>地区名称：必填、填到村（社区）一级。</t>
  </si>
  <si>
    <t>清查单位：资产所属组织（村级集体经济组织、组级集体经济组织等）。</t>
  </si>
  <si>
    <t>类别：根据下拉框选项，准确选择。包含06010000A-房屋和构筑物、06020000A-设备、06030000A-图书和档案、06040000A-家具和用具、06990000A-其他固定资产。</t>
  </si>
  <si>
    <t>名称：名称需要唯一性，不得简写或直接用资产类型代替，例如“电脑”“厂房”“机器设备”“加工厂”“学校”等均不合格。</t>
  </si>
  <si>
    <t>规格型号：是反映资产性质、性能、品质等一系列的指标，如品牌、等级、成分、含量、纯度、大小（尺寸、重量）等。</t>
  </si>
  <si>
    <t>责任保管人：村集体经济组织监事会、理事会人员等。</t>
  </si>
  <si>
    <t>坐落位置：资产的具体地理位置。</t>
  </si>
  <si>
    <t>构（购）建时间：是指购买或自行建筑的具体时间，如1999-01-01。</t>
  </si>
  <si>
    <t>资产来源：自购、自建、接受捐赠、盘盈、上级拨入、非货币性交换、其他。</t>
  </si>
  <si>
    <t>资产是否可拆分：指资产是否后续可以拆分为楼层、房间等用户租赁。</t>
  </si>
  <si>
    <t>对象：填写具体的承租人姓名或单位名称。</t>
  </si>
  <si>
    <t>数量或建筑面积：房屋和构筑物等不动产填建筑面积，其他资产填数量。</t>
  </si>
  <si>
    <r>
      <rPr>
        <sz val="48"/>
        <color theme="1"/>
        <rFont val="仿宋"/>
        <charset val="134"/>
      </rPr>
      <t>数量单位：台、盏、只、组、件、辆、套、部、延长米、艘、盘、张、架、处、本、卷、盘、张、盒、块、座、株、吨</t>
    </r>
    <r>
      <rPr>
        <sz val="48"/>
        <rFont val="Arial"/>
        <charset val="0"/>
      </rPr>
      <t>…</t>
    </r>
  </si>
  <si>
    <t>原值：资产的购置价值。</t>
  </si>
  <si>
    <t>净值：资产折旧后的净值，与资产折旧值逻辑对应。</t>
  </si>
  <si>
    <t>固定资产清理：农村集体经济组织因出售、捐赠、报废和毁损等原因转入清理的固定资产的账面价值及其在清理过程中所发生的费用等。</t>
  </si>
  <si>
    <t>是否帮扶（扶贫）资产：是或否。</t>
  </si>
  <si>
    <t>资产编号：唯一，如果清查单位在“全国农村集体资产监督管理平台-资产财务模块-资产管理”中已录入资产信息，可通过“资产管理-资产查询”导出全部资产信息，复制粘贴到对应报表上。
之前没有在全国平台录入的，不用填写编号，未来上传系统后系统自动生成编号。</t>
  </si>
  <si>
    <t>地块编码：唯一，仅房屋和构筑物需要填对应省平台上坐落位置的地块编码或经纬度。</t>
  </si>
  <si>
    <t>照片：只有类别是房屋和构筑物的资产需要拍照，照片以村为单位形成文件夹，照片命名与资产编号一致。（照片为下一步上传平台时的附件，粘贴在电子表格里或形成电子文件夹均可）</t>
  </si>
  <si>
    <t>备注：根据实际情况填写。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</si>
</sst>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quot;$&quot;* #,##0.00_);_(&quot;$&quot;* \(#,##0.00\);_(&quot;$&quot;* &quot;-&quot;??_);_(@_)"/>
    <numFmt numFmtId="177" formatCode="_(* #,##0.00_);_(* \(#,##0.00\);_(* &quot;-&quot;??_);_(@_)"/>
    <numFmt numFmtId="178" formatCode="_(&quot;$&quot;* #,##0_);_(&quot;$&quot;* \(#,##0\);_(&quot;$&quot;* &quot;-&quot;_);_(@_)"/>
    <numFmt numFmtId="179" formatCode="_(* #,##0_);_(* \(#,##0\);_(* &quot;-&quot;_);_(@_)"/>
    <numFmt numFmtId="180" formatCode="0.00_ "/>
    <numFmt numFmtId="181" formatCode="0.0_ "/>
  </numFmts>
  <fonts count="41">
    <font>
      <sz val="10"/>
      <name val="Arial"/>
      <charset val="0"/>
    </font>
    <font>
      <sz val="48"/>
      <name val="Arial"/>
      <charset val="0"/>
    </font>
    <font>
      <sz val="48"/>
      <color rgb="FFFF0000"/>
      <name val="宋体"/>
      <charset val="134"/>
    </font>
    <font>
      <strike/>
      <sz val="48"/>
      <color rgb="FFFF0000"/>
      <name val="Arial"/>
      <charset val="0"/>
    </font>
    <font>
      <sz val="48"/>
      <name val="方正小标宋简体"/>
      <charset val="134"/>
    </font>
    <font>
      <strike/>
      <sz val="48"/>
      <color rgb="FFFF0000"/>
      <name val="方正小标宋简体"/>
      <charset val="134"/>
    </font>
    <font>
      <sz val="48"/>
      <name val="微软雅黑"/>
      <charset val="134"/>
    </font>
    <font>
      <strike/>
      <sz val="48"/>
      <color rgb="FFFF0000"/>
      <name val="微软雅黑"/>
      <charset val="134"/>
    </font>
    <font>
      <b/>
      <sz val="48"/>
      <name val="微软雅黑"/>
      <charset val="134"/>
    </font>
    <font>
      <b/>
      <sz val="48"/>
      <color rgb="FFFF0000"/>
      <name val="微软雅黑"/>
      <charset val="134"/>
    </font>
    <font>
      <sz val="48"/>
      <name val="宋体"/>
      <charset val="134"/>
    </font>
    <font>
      <sz val="48"/>
      <name val="Courier New"/>
      <charset val="0"/>
    </font>
    <font>
      <sz val="48"/>
      <name val="方正书宋_GBK"/>
      <charset val="134"/>
    </font>
    <font>
      <sz val="48"/>
      <name val="宋体"/>
      <charset val="0"/>
    </font>
    <font>
      <sz val="48"/>
      <name val="仿宋_GB2312"/>
      <charset val="134"/>
    </font>
    <font>
      <strike/>
      <sz val="48"/>
      <name val="Arial"/>
      <charset val="0"/>
    </font>
    <font>
      <b/>
      <sz val="72"/>
      <name val="宋体"/>
      <charset val="134"/>
    </font>
    <font>
      <sz val="48"/>
      <color theme="1"/>
      <name val="仿宋"/>
      <charset val="134"/>
    </font>
    <font>
      <sz val="48"/>
      <color rgb="FFFF0000"/>
      <name val="仿宋"/>
      <charset val="134"/>
    </font>
    <font>
      <strike/>
      <sz val="48"/>
      <color rgb="FFFF0000"/>
      <name val="宋体"/>
      <charset val="134"/>
    </font>
    <font>
      <sz val="48"/>
      <name val="仿宋"/>
      <charset val="134"/>
    </font>
    <font>
      <sz val="48"/>
      <color rgb="FFFF0000"/>
      <name val="Arial"/>
      <charset val="0"/>
    </font>
    <font>
      <u/>
      <sz val="11"/>
      <color indexed="12"/>
      <name val="宋体"/>
      <charset val="134"/>
    </font>
    <font>
      <u/>
      <sz val="11"/>
      <color indexed="20"/>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s>
  <fills count="2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indexed="8"/>
      </right>
      <top style="thin">
        <color auto="1"/>
      </top>
      <bottom/>
      <diagonal/>
    </border>
    <border>
      <left style="thin">
        <color auto="1"/>
      </left>
      <right style="thin">
        <color indexed="8"/>
      </right>
      <top style="thin">
        <color indexed="8"/>
      </top>
      <bottom style="thin">
        <color auto="1"/>
      </bottom>
      <diagonal/>
    </border>
    <border>
      <left/>
      <right style="thin">
        <color indexed="8"/>
      </right>
      <top/>
      <bottom/>
      <diagonal/>
    </border>
    <border>
      <left style="thin">
        <color auto="1"/>
      </left>
      <right style="thin">
        <color auto="1"/>
      </right>
      <top style="thin">
        <color auto="1"/>
      </top>
      <bottom/>
      <diagonal/>
    </border>
    <border>
      <left style="thin">
        <color auto="1"/>
      </left>
      <right style="thin">
        <color indexed="8"/>
      </right>
      <top style="thin">
        <color auto="1"/>
      </top>
      <bottom style="thin">
        <color auto="1"/>
      </bottom>
      <diagonal/>
    </border>
    <border>
      <left style="thin">
        <color auto="1"/>
      </left>
      <right style="thin">
        <color auto="1"/>
      </right>
      <top/>
      <bottom/>
      <diagonal/>
    </border>
    <border>
      <left/>
      <right style="thin">
        <color indexed="8"/>
      </right>
      <top/>
      <bottom style="thin">
        <color indexed="8"/>
      </bottom>
      <diagonal/>
    </border>
    <border>
      <left style="thin">
        <color auto="1"/>
      </left>
      <right style="thin">
        <color auto="1"/>
      </right>
      <top/>
      <bottom style="thin">
        <color auto="1"/>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auto="1"/>
      </top>
      <bottom/>
      <diagonal/>
    </border>
    <border>
      <left style="thin">
        <color auto="1"/>
      </left>
      <right style="thin">
        <color indexed="8"/>
      </right>
      <top/>
      <bottom style="thin">
        <color indexed="8"/>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13"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9" fillId="0" borderId="16" applyNumberFormat="0" applyFill="0" applyAlignment="0" applyProtection="0">
      <alignment vertical="center"/>
    </xf>
    <xf numFmtId="0" fontId="29" fillId="0" borderId="0" applyNumberFormat="0" applyFill="0" applyBorder="0" applyAlignment="0" applyProtection="0">
      <alignment vertical="center"/>
    </xf>
    <xf numFmtId="0" fontId="30" fillId="5" borderId="17" applyNumberFormat="0" applyAlignment="0" applyProtection="0">
      <alignment vertical="center"/>
    </xf>
    <xf numFmtId="0" fontId="31" fillId="6" borderId="18" applyNumberFormat="0" applyAlignment="0" applyProtection="0">
      <alignment vertical="center"/>
    </xf>
    <xf numFmtId="0" fontId="32" fillId="6" borderId="17" applyNumberFormat="0" applyAlignment="0" applyProtection="0">
      <alignment vertical="center"/>
    </xf>
    <xf numFmtId="0" fontId="33" fillId="7" borderId="19" applyNumberFormat="0" applyAlignment="0" applyProtection="0">
      <alignment vertical="center"/>
    </xf>
    <xf numFmtId="0" fontId="34" fillId="0" borderId="20" applyNumberFormat="0" applyFill="0" applyAlignment="0" applyProtection="0">
      <alignment vertical="center"/>
    </xf>
    <xf numFmtId="0" fontId="35" fillId="0" borderId="21"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9" borderId="0" applyNumberFormat="0" applyBorder="0" applyAlignment="0" applyProtection="0">
      <alignment vertical="center"/>
    </xf>
    <xf numFmtId="0" fontId="40" fillId="16"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8" borderId="0" applyNumberFormat="0" applyBorder="0" applyAlignment="0" applyProtection="0">
      <alignment vertical="center"/>
    </xf>
    <xf numFmtId="0" fontId="40" fillId="18"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39" fillId="19"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13" borderId="0" applyNumberFormat="0" applyBorder="0" applyAlignment="0" applyProtection="0">
      <alignment vertical="center"/>
    </xf>
    <xf numFmtId="0" fontId="39" fillId="21" borderId="0" applyNumberFormat="0" applyBorder="0" applyAlignment="0" applyProtection="0">
      <alignment vertical="center"/>
    </xf>
    <xf numFmtId="0" fontId="39" fillId="23" borderId="0" applyNumberFormat="0" applyBorder="0" applyAlignment="0" applyProtection="0">
      <alignment vertical="center"/>
    </xf>
    <xf numFmtId="0" fontId="40" fillId="5" borderId="0" applyNumberFormat="0" applyBorder="0" applyAlignment="0" applyProtection="0">
      <alignment vertical="center"/>
    </xf>
    <xf numFmtId="0" fontId="40" fillId="24" borderId="0" applyNumberFormat="0" applyBorder="0" applyAlignment="0" applyProtection="0">
      <alignment vertical="center"/>
    </xf>
    <xf numFmtId="0" fontId="39" fillId="25" borderId="0" applyNumberFormat="0" applyBorder="0" applyAlignment="0" applyProtection="0">
      <alignment vertical="center"/>
    </xf>
  </cellStyleXfs>
  <cellXfs count="103">
    <xf numFmtId="0" fontId="0" fillId="0" borderId="0" xfId="0"/>
    <xf numFmtId="0" fontId="1" fillId="0" borderId="0" xfId="0" applyFont="1"/>
    <xf numFmtId="0" fontId="1" fillId="0" borderId="0" xfId="0" applyFont="1" applyAlignment="1">
      <alignment wrapText="1"/>
    </xf>
    <xf numFmtId="0" fontId="2" fillId="0" borderId="0" xfId="0" applyFont="1" applyAlignment="1"/>
    <xf numFmtId="0" fontId="1" fillId="0" borderId="0" xfId="0" applyFont="1" applyAlignment="1">
      <alignment horizontal="left"/>
    </xf>
    <xf numFmtId="180" fontId="1" fillId="0" borderId="0" xfId="0" applyNumberFormat="1" applyFont="1" applyAlignment="1">
      <alignment horizontal="right"/>
    </xf>
    <xf numFmtId="181" fontId="1" fillId="0" borderId="0" xfId="0" applyNumberFormat="1" applyFont="1" applyAlignment="1">
      <alignment horizontal="center"/>
    </xf>
    <xf numFmtId="181" fontId="1" fillId="0" borderId="0" xfId="0" applyNumberFormat="1" applyFont="1" applyAlignment="1">
      <alignment horizontal="right"/>
    </xf>
    <xf numFmtId="0" fontId="1" fillId="0" borderId="0" xfId="0" applyFont="1" applyAlignment="1">
      <alignment horizontal="right"/>
    </xf>
    <xf numFmtId="0" fontId="3" fillId="0" borderId="0" xfId="0" applyFont="1"/>
    <xf numFmtId="0" fontId="4" fillId="0" borderId="0" xfId="0" applyFont="1" applyAlignment="1">
      <alignment horizontal="center" wrapText="1"/>
    </xf>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center"/>
    </xf>
    <xf numFmtId="0" fontId="6" fillId="0" borderId="0" xfId="0" applyFont="1" applyFill="1" applyAlignment="1">
      <alignment horizontal="left" vertical="center" wrapText="1"/>
    </xf>
    <xf numFmtId="0" fontId="6" fillId="0" borderId="0" xfId="0" applyFont="1" applyFill="1" applyAlignment="1">
      <alignment horizontal="left" vertical="center"/>
    </xf>
    <xf numFmtId="0" fontId="6" fillId="0" borderId="0" xfId="0" applyFont="1" applyFill="1" applyAlignment="1">
      <alignment horizontal="center" vertical="center"/>
    </xf>
    <xf numFmtId="0" fontId="7" fillId="0" borderId="0" xfId="0" applyFont="1" applyFill="1" applyAlignment="1">
      <alignment horizontal="left" vertical="center"/>
    </xf>
    <xf numFmtId="0" fontId="8"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181" fontId="8" fillId="0" borderId="1" xfId="0" applyNumberFormat="1" applyFont="1" applyFill="1" applyBorder="1" applyAlignment="1">
      <alignment horizontal="center" vertical="center" wrapText="1"/>
    </xf>
    <xf numFmtId="181" fontId="8" fillId="0" borderId="5" xfId="0" applyNumberFormat="1" applyFont="1" applyFill="1" applyBorder="1" applyAlignment="1">
      <alignment horizontal="center" vertical="center" wrapText="1"/>
    </xf>
    <xf numFmtId="180" fontId="8" fillId="0" borderId="1" xfId="0" applyNumberFormat="1" applyFont="1" applyFill="1" applyBorder="1" applyAlignment="1">
      <alignment horizontal="center" vertical="center" wrapText="1"/>
    </xf>
    <xf numFmtId="0" fontId="8" fillId="0" borderId="6" xfId="0" applyFont="1" applyFill="1" applyBorder="1" applyAlignment="1">
      <alignment horizontal="center" vertical="center" wrapText="1"/>
    </xf>
    <xf numFmtId="181" fontId="8" fillId="0" borderId="7" xfId="0" applyNumberFormat="1" applyFont="1" applyFill="1" applyBorder="1" applyAlignment="1">
      <alignment horizontal="center" vertical="center" wrapText="1"/>
    </xf>
    <xf numFmtId="0" fontId="9" fillId="0" borderId="8" xfId="0" applyFont="1" applyFill="1" applyBorder="1" applyAlignment="1">
      <alignment horizontal="center" vertical="center" wrapText="1"/>
    </xf>
    <xf numFmtId="181" fontId="8" fillId="0" borderId="9" xfId="0" applyNumberFormat="1" applyFont="1" applyFill="1" applyBorder="1" applyAlignment="1">
      <alignment horizontal="center" vertical="center" wrapText="1"/>
    </xf>
    <xf numFmtId="0" fontId="10" fillId="0"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0" fillId="2" borderId="1" xfId="0" applyFont="1" applyFill="1" applyBorder="1" applyAlignment="1">
      <alignment horizontal="left" vertical="center" wrapText="1"/>
    </xf>
    <xf numFmtId="14" fontId="11" fillId="0" borderId="1" xfId="0" applyNumberFormat="1" applyFont="1" applyFill="1" applyBorder="1" applyAlignment="1">
      <alignment horizontal="left" vertical="center"/>
    </xf>
    <xf numFmtId="0" fontId="12" fillId="0" borderId="1" xfId="0" applyFont="1" applyBorder="1" applyAlignment="1">
      <alignment horizontal="left" vertical="center" wrapText="1"/>
    </xf>
    <xf numFmtId="0" fontId="10" fillId="0" borderId="1" xfId="0" applyFont="1" applyBorder="1" applyAlignment="1">
      <alignment horizontal="left" vertical="center" wrapText="1"/>
    </xf>
    <xf numFmtId="1" fontId="11" fillId="0" borderId="1" xfId="0" applyNumberFormat="1" applyFont="1" applyBorder="1" applyAlignment="1">
      <alignment horizontal="right" vertical="center" wrapText="1"/>
    </xf>
    <xf numFmtId="2" fontId="11" fillId="0" borderId="1" xfId="0" applyNumberFormat="1" applyFont="1" applyFill="1" applyBorder="1" applyAlignment="1">
      <alignment horizontal="center" vertical="center"/>
    </xf>
    <xf numFmtId="0" fontId="12" fillId="2" borderId="1" xfId="0" applyFont="1" applyFill="1" applyBorder="1" applyAlignment="1">
      <alignment horizontal="left" vertical="center"/>
    </xf>
    <xf numFmtId="2" fontId="11" fillId="0" borderId="1" xfId="0" applyNumberFormat="1" applyFont="1" applyFill="1" applyBorder="1" applyAlignment="1">
      <alignment horizontal="right" vertical="center"/>
    </xf>
    <xf numFmtId="2" fontId="11" fillId="0" borderId="1" xfId="0" applyNumberFormat="1" applyFont="1" applyBorder="1" applyAlignment="1">
      <alignment horizontal="right" vertical="center" wrapText="1"/>
    </xf>
    <xf numFmtId="180" fontId="11" fillId="0" borderId="1" xfId="0" applyNumberFormat="1" applyFont="1" applyBorder="1" applyAlignment="1">
      <alignment horizontal="right" vertical="center" wrapText="1"/>
    </xf>
    <xf numFmtId="1" fontId="13" fillId="0" borderId="1" xfId="0" applyNumberFormat="1" applyFont="1" applyBorder="1" applyAlignment="1">
      <alignment horizontal="right" vertical="center" wrapText="1"/>
    </xf>
    <xf numFmtId="0" fontId="14" fillId="0" borderId="1" xfId="0" applyFont="1" applyFill="1" applyBorder="1" applyAlignment="1">
      <alignment horizontal="center" vertical="center" wrapText="1"/>
    </xf>
    <xf numFmtId="0" fontId="1" fillId="0" borderId="1" xfId="0" applyFont="1" applyBorder="1" applyAlignment="1">
      <alignment wrapText="1"/>
    </xf>
    <xf numFmtId="0" fontId="15" fillId="0" borderId="1" xfId="0" applyFont="1" applyBorder="1" applyAlignment="1">
      <alignment wrapText="1"/>
    </xf>
    <xf numFmtId="0" fontId="1" fillId="0" borderId="10" xfId="0" applyFont="1" applyBorder="1" applyAlignment="1">
      <alignment wrapText="1"/>
    </xf>
    <xf numFmtId="2" fontId="11" fillId="0" borderId="1" xfId="0" applyNumberFormat="1" applyFont="1" applyFill="1" applyBorder="1" applyAlignment="1">
      <alignment horizontal="right" vertical="center" wrapText="1"/>
    </xf>
    <xf numFmtId="0" fontId="10" fillId="0" borderId="5" xfId="0" applyFont="1" applyFill="1" applyBorder="1" applyAlignment="1">
      <alignment horizontal="left" vertical="center" wrapText="1"/>
    </xf>
    <xf numFmtId="0" fontId="11" fillId="0" borderId="5" xfId="0" applyFont="1" applyBorder="1" applyAlignment="1">
      <alignment horizontal="left" vertical="center" wrapText="1"/>
    </xf>
    <xf numFmtId="0" fontId="12" fillId="0" borderId="5" xfId="0" applyFont="1" applyBorder="1" applyAlignment="1">
      <alignment horizontal="left" vertical="center" wrapText="1"/>
    </xf>
    <xf numFmtId="0" fontId="10" fillId="0" borderId="5" xfId="0" applyFont="1" applyBorder="1" applyAlignment="1">
      <alignment horizontal="left" vertical="center" wrapText="1"/>
    </xf>
    <xf numFmtId="1" fontId="11" fillId="0" borderId="5" xfId="0" applyNumberFormat="1" applyFont="1" applyBorder="1" applyAlignment="1">
      <alignment horizontal="right" vertical="center" wrapText="1"/>
    </xf>
    <xf numFmtId="2" fontId="11" fillId="0" borderId="5" xfId="0" applyNumberFormat="1" applyFont="1" applyFill="1" applyBorder="1" applyAlignment="1">
      <alignment horizontal="center" vertical="center"/>
    </xf>
    <xf numFmtId="0" fontId="12" fillId="2" borderId="5" xfId="0" applyFont="1" applyFill="1" applyBorder="1" applyAlignment="1">
      <alignment horizontal="left" vertical="center"/>
    </xf>
    <xf numFmtId="2" fontId="11" fillId="0" borderId="5" xfId="0" applyNumberFormat="1" applyFont="1" applyFill="1" applyBorder="1" applyAlignment="1">
      <alignment horizontal="right" vertical="center"/>
    </xf>
    <xf numFmtId="180" fontId="11" fillId="0" borderId="5" xfId="0" applyNumberFormat="1" applyFont="1" applyBorder="1" applyAlignment="1">
      <alignment horizontal="right" vertical="center" wrapText="1"/>
    </xf>
    <xf numFmtId="0" fontId="14" fillId="0" borderId="5" xfId="0" applyFont="1" applyFill="1" applyBorder="1" applyAlignment="1">
      <alignment horizontal="center" vertical="center" wrapText="1"/>
    </xf>
    <xf numFmtId="0" fontId="1" fillId="0" borderId="5" xfId="0" applyFont="1" applyBorder="1" applyAlignment="1">
      <alignment wrapText="1"/>
    </xf>
    <xf numFmtId="0" fontId="15" fillId="0" borderId="5" xfId="0" applyFont="1" applyBorder="1" applyAlignment="1">
      <alignment wrapText="1"/>
    </xf>
    <xf numFmtId="0" fontId="1" fillId="0" borderId="11" xfId="0" applyFont="1" applyBorder="1" applyAlignment="1">
      <alignment wrapText="1"/>
    </xf>
    <xf numFmtId="0" fontId="10" fillId="0"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center" vertical="center" wrapText="1"/>
    </xf>
    <xf numFmtId="1" fontId="11" fillId="0" borderId="1" xfId="0" applyNumberFormat="1" applyFont="1" applyBorder="1" applyAlignment="1">
      <alignment horizontal="center" vertical="center" wrapText="1"/>
    </xf>
    <xf numFmtId="1" fontId="13"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0" fillId="0" borderId="9" xfId="0" applyFont="1" applyFill="1" applyBorder="1" applyAlignment="1">
      <alignment horizontal="left" vertical="center" wrapText="1"/>
    </xf>
    <xf numFmtId="0" fontId="11" fillId="0" borderId="9" xfId="0" applyFont="1" applyBorder="1" applyAlignment="1">
      <alignment horizontal="left" vertical="center" wrapText="1"/>
    </xf>
    <xf numFmtId="14" fontId="11" fillId="0" borderId="9" xfId="0" applyNumberFormat="1" applyFont="1" applyFill="1" applyBorder="1" applyAlignment="1">
      <alignment horizontal="left" vertical="center"/>
    </xf>
    <xf numFmtId="0" fontId="12" fillId="0" borderId="9" xfId="0" applyFont="1" applyBorder="1" applyAlignment="1">
      <alignment horizontal="left" vertical="center" wrapText="1"/>
    </xf>
    <xf numFmtId="0" fontId="10" fillId="0" borderId="9" xfId="0" applyFont="1" applyBorder="1" applyAlignment="1">
      <alignment horizontal="left" vertical="center" wrapText="1"/>
    </xf>
    <xf numFmtId="1" fontId="11" fillId="0" borderId="9" xfId="0" applyNumberFormat="1" applyFont="1" applyBorder="1" applyAlignment="1">
      <alignment horizontal="right" vertical="center" wrapText="1"/>
    </xf>
    <xf numFmtId="0" fontId="12" fillId="2" borderId="1" xfId="0" applyFont="1" applyFill="1" applyBorder="1" applyAlignment="1">
      <alignment horizontal="center" vertical="center"/>
    </xf>
    <xf numFmtId="2" fontId="11" fillId="0" borderId="9" xfId="0" applyNumberFormat="1" applyFont="1" applyFill="1" applyBorder="1" applyAlignment="1">
      <alignment horizontal="right" vertical="center"/>
    </xf>
    <xf numFmtId="180" fontId="11" fillId="0" borderId="9" xfId="0" applyNumberFormat="1" applyFont="1" applyBorder="1" applyAlignment="1">
      <alignment horizontal="right" vertical="center" wrapText="1"/>
    </xf>
    <xf numFmtId="0" fontId="14" fillId="0" borderId="9" xfId="0" applyFont="1" applyFill="1" applyBorder="1" applyAlignment="1">
      <alignment horizontal="center" vertical="center" wrapText="1"/>
    </xf>
    <xf numFmtId="0" fontId="1" fillId="0" borderId="9" xfId="0" applyFont="1" applyBorder="1" applyAlignment="1">
      <alignment wrapText="1"/>
    </xf>
    <xf numFmtId="0" fontId="15" fillId="0" borderId="9" xfId="0" applyFont="1" applyBorder="1" applyAlignment="1">
      <alignment wrapText="1"/>
    </xf>
    <xf numFmtId="0" fontId="1" fillId="0" borderId="12" xfId="0" applyFont="1" applyBorder="1" applyAlignment="1">
      <alignment wrapText="1"/>
    </xf>
    <xf numFmtId="181" fontId="1" fillId="0" borderId="1" xfId="0" applyNumberFormat="1" applyFont="1" applyBorder="1" applyAlignment="1">
      <alignment horizontal="center" vertical="center"/>
    </xf>
    <xf numFmtId="181" fontId="13" fillId="0" borderId="1" xfId="0" applyNumberFormat="1" applyFont="1" applyBorder="1" applyAlignment="1">
      <alignment horizontal="left" vertical="center"/>
    </xf>
    <xf numFmtId="14" fontId="1" fillId="0" borderId="1" xfId="0" applyNumberFormat="1" applyFont="1" applyBorder="1" applyAlignment="1">
      <alignment horizontal="center" vertical="center"/>
    </xf>
    <xf numFmtId="0" fontId="16" fillId="0" borderId="1" xfId="0" applyFont="1" applyFill="1" applyBorder="1" applyAlignment="1">
      <alignment horizontal="left" vertical="center" wrapText="1"/>
    </xf>
    <xf numFmtId="0" fontId="1" fillId="0" borderId="1" xfId="0" applyFont="1" applyBorder="1"/>
    <xf numFmtId="0" fontId="17" fillId="0" borderId="0" xfId="0" applyFont="1" applyFill="1" applyBorder="1" applyAlignment="1">
      <alignment horizontal="left" vertical="center" wrapText="1"/>
    </xf>
    <xf numFmtId="0" fontId="17" fillId="0" borderId="0" xfId="0" applyFont="1" applyFill="1" applyBorder="1" applyAlignment="1">
      <alignment horizontal="left" vertical="center"/>
    </xf>
    <xf numFmtId="0" fontId="17" fillId="0" borderId="0" xfId="0" applyFont="1" applyFill="1" applyBorder="1" applyAlignment="1">
      <alignment horizontal="center" vertical="center"/>
    </xf>
    <xf numFmtId="0" fontId="18" fillId="0" borderId="0" xfId="0" applyFont="1" applyFill="1" applyBorder="1" applyAlignment="1">
      <alignment horizontal="left" vertical="center" wrapText="1"/>
    </xf>
    <xf numFmtId="0" fontId="18" fillId="0" borderId="0" xfId="0" applyFont="1" applyFill="1" applyBorder="1" applyAlignment="1">
      <alignment horizontal="left" vertical="center"/>
    </xf>
    <xf numFmtId="0" fontId="18" fillId="0" borderId="0" xfId="0" applyFont="1" applyFill="1" applyBorder="1" applyAlignment="1">
      <alignment horizontal="center" vertical="center"/>
    </xf>
    <xf numFmtId="0" fontId="15" fillId="0" borderId="0" xfId="0" applyFont="1"/>
    <xf numFmtId="0" fontId="19" fillId="0" borderId="0" xfId="0" applyFont="1" applyAlignment="1"/>
    <xf numFmtId="0" fontId="20" fillId="3" borderId="0" xfId="0" applyFont="1" applyFill="1" applyBorder="1" applyAlignment="1">
      <alignment horizontal="left" vertical="center" wrapText="1"/>
    </xf>
    <xf numFmtId="0" fontId="20" fillId="3" borderId="0" xfId="0" applyFont="1" applyFill="1" applyBorder="1" applyAlignment="1">
      <alignment horizontal="left" vertical="center"/>
    </xf>
    <xf numFmtId="0" fontId="20" fillId="3" borderId="0" xfId="0" applyFont="1" applyFill="1" applyBorder="1" applyAlignment="1">
      <alignment horizontal="center" vertical="center"/>
    </xf>
    <xf numFmtId="0" fontId="17" fillId="3" borderId="0" xfId="0" applyFont="1" applyFill="1" applyBorder="1" applyAlignment="1">
      <alignment horizontal="left" vertical="center" wrapText="1"/>
    </xf>
    <xf numFmtId="0" fontId="17" fillId="3" borderId="0" xfId="0" applyFont="1" applyFill="1" applyBorder="1" applyAlignment="1">
      <alignment horizontal="left" vertical="center"/>
    </xf>
    <xf numFmtId="0" fontId="17" fillId="3" borderId="0" xfId="0" applyFont="1" applyFill="1" applyBorder="1" applyAlignment="1">
      <alignment horizontal="center" vertical="center"/>
    </xf>
    <xf numFmtId="0" fontId="2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88"/>
  <sheetViews>
    <sheetView tabSelected="1" zoomScale="25" zoomScaleNormal="25" zoomScaleSheetLayoutView="25" topLeftCell="I1" workbookViewId="0">
      <pane ySplit="6" topLeftCell="A7" activePane="bottomLeft" state="frozen"/>
      <selection/>
      <selection pane="bottomLeft" activeCell="V21" sqref="V21"/>
    </sheetView>
  </sheetViews>
  <sheetFormatPr defaultColWidth="9.01904761904762" defaultRowHeight="59.25"/>
  <cols>
    <col min="1" max="1" width="55.4285714285714" style="2" customWidth="1"/>
    <col min="2" max="2" width="55.7142857142857" style="1" customWidth="1"/>
    <col min="3" max="3" width="50.7142857142857" style="1" customWidth="1"/>
    <col min="4" max="4" width="50" style="1" customWidth="1"/>
    <col min="5" max="5" width="67" style="1" customWidth="1"/>
    <col min="6" max="6" width="18.4285714285714" style="1" customWidth="1"/>
    <col min="7" max="7" width="34.2857142857143" style="1" customWidth="1"/>
    <col min="8" max="8" width="35.4285714285714" style="1" customWidth="1"/>
    <col min="9" max="9" width="62.8571428571429" style="1" customWidth="1"/>
    <col min="10" max="10" width="23" style="1" customWidth="1"/>
    <col min="11" max="11" width="84.1428571428571" style="4" customWidth="1"/>
    <col min="12" max="13" width="12" style="1" customWidth="1"/>
    <col min="14" max="14" width="14.2857142857143" style="1" customWidth="1"/>
    <col min="15" max="15" width="26.8571428571429" style="5" customWidth="1"/>
    <col min="16" max="16" width="57.1428571428571" style="6" customWidth="1"/>
    <col min="17" max="17" width="31.4285714285714" style="7" customWidth="1"/>
    <col min="18" max="18" width="70.2857142857143" style="5" customWidth="1"/>
    <col min="19" max="19" width="25.7142857142857" style="5" customWidth="1"/>
    <col min="20" max="20" width="64.1428571428571" style="5" customWidth="1"/>
    <col min="21" max="21" width="27.4285714285714" style="5" customWidth="1"/>
    <col min="22" max="22" width="23.4285714285714" style="7" customWidth="1"/>
    <col min="23" max="23" width="18.2857142857143" style="7" customWidth="1"/>
    <col min="24" max="24" width="21.7142857142857" style="5" customWidth="1"/>
    <col min="25" max="25" width="29.7142857142857" style="7" customWidth="1"/>
    <col min="26" max="26" width="20.5714285714286" style="7" customWidth="1"/>
    <col min="27" max="27" width="34.2857142857143" style="5" customWidth="1"/>
    <col min="28" max="28" width="67" style="7" customWidth="1"/>
    <col min="29" max="29" width="29.8571428571429" style="7" customWidth="1"/>
    <col min="30" max="30" width="64.1428571428571" style="5" customWidth="1"/>
    <col min="31" max="31" width="32" style="5" customWidth="1"/>
    <col min="32" max="32" width="64.1428571428571" style="5" customWidth="1"/>
    <col min="33" max="33" width="32" style="5" customWidth="1"/>
    <col min="34" max="34" width="28.5714285714286" style="8" customWidth="1"/>
    <col min="35" max="35" width="22.2857142857143" style="8" customWidth="1"/>
    <col min="36" max="36" width="29.1428571428571" style="8" customWidth="1"/>
    <col min="37" max="37" width="14.2857142857143" style="9" customWidth="1"/>
    <col min="38" max="38" width="11.4285714285714" style="1" customWidth="1"/>
    <col min="39" max="39" width="16.1428571428571" style="9" customWidth="1"/>
    <col min="40" max="40" width="16.1428571428571" style="1" customWidth="1"/>
    <col min="41" max="16384" width="9.01904761904762" style="1"/>
  </cols>
  <sheetData>
    <row r="1" ht="85" customHeight="1" spans="1:40">
      <c r="A1" s="10" t="s">
        <v>0</v>
      </c>
      <c r="B1" s="11"/>
      <c r="C1" s="11"/>
      <c r="D1" s="11"/>
      <c r="E1" s="11"/>
      <c r="F1" s="11"/>
      <c r="G1" s="11"/>
      <c r="H1" s="11"/>
      <c r="I1" s="11"/>
      <c r="J1" s="11"/>
      <c r="K1" s="12"/>
      <c r="L1" s="11"/>
      <c r="M1" s="11"/>
      <c r="N1" s="11"/>
      <c r="O1" s="11"/>
      <c r="P1" s="11"/>
      <c r="Q1" s="11"/>
      <c r="R1" s="11"/>
      <c r="S1" s="11"/>
      <c r="T1" s="11"/>
      <c r="U1" s="11"/>
      <c r="V1" s="11"/>
      <c r="W1" s="11"/>
      <c r="X1" s="11"/>
      <c r="Y1" s="11"/>
      <c r="Z1" s="11"/>
      <c r="AA1" s="11"/>
      <c r="AB1" s="11"/>
      <c r="AC1" s="11"/>
      <c r="AD1" s="11"/>
      <c r="AE1" s="11"/>
      <c r="AF1" s="11"/>
      <c r="AG1" s="11"/>
      <c r="AH1" s="11"/>
      <c r="AI1" s="11"/>
      <c r="AJ1" s="11"/>
      <c r="AK1" s="13"/>
      <c r="AL1" s="11"/>
      <c r="AM1" s="13"/>
    </row>
    <row r="2" s="1" customFormat="1" ht="82" customHeight="1" spans="1:40">
      <c r="A2" s="14" t="s">
        <v>1</v>
      </c>
      <c r="B2" s="15"/>
      <c r="C2" s="15"/>
      <c r="D2" s="15"/>
      <c r="E2" s="15"/>
      <c r="F2" s="15"/>
      <c r="G2" s="15"/>
      <c r="H2" s="15"/>
      <c r="I2" s="15"/>
      <c r="J2" s="15"/>
      <c r="K2" s="15"/>
      <c r="L2" s="15"/>
      <c r="M2" s="15"/>
      <c r="N2" s="15"/>
      <c r="O2" s="15"/>
      <c r="P2" s="16"/>
      <c r="Q2" s="15"/>
      <c r="R2" s="15"/>
      <c r="S2" s="15"/>
      <c r="T2" s="15"/>
      <c r="U2" s="15"/>
      <c r="V2" s="15"/>
      <c r="W2" s="15"/>
      <c r="X2" s="15"/>
      <c r="Y2" s="15"/>
      <c r="Z2" s="15"/>
      <c r="AA2" s="15"/>
      <c r="AB2" s="15"/>
      <c r="AC2" s="15"/>
      <c r="AD2" s="15"/>
      <c r="AE2" s="15"/>
      <c r="AF2" s="15"/>
      <c r="AG2" s="15"/>
      <c r="AH2" s="15"/>
      <c r="AI2" s="15"/>
      <c r="AJ2" s="15"/>
      <c r="AK2" s="17"/>
      <c r="AL2" s="15"/>
      <c r="AM2" s="17"/>
    </row>
    <row r="3" s="1" customFormat="1" ht="71" customHeight="1" spans="1:40">
      <c r="A3" s="18" t="s">
        <v>2</v>
      </c>
      <c r="B3" s="18" t="s">
        <v>3</v>
      </c>
      <c r="C3" s="19" t="s">
        <v>4</v>
      </c>
      <c r="D3" s="18" t="s">
        <v>5</v>
      </c>
      <c r="E3" s="18" t="s">
        <v>6</v>
      </c>
      <c r="F3" s="20" t="s">
        <v>7</v>
      </c>
      <c r="G3" s="20" t="s">
        <v>8</v>
      </c>
      <c r="H3" s="18" t="s">
        <v>9</v>
      </c>
      <c r="I3" s="18" t="s">
        <v>10</v>
      </c>
      <c r="J3" s="18" t="s">
        <v>11</v>
      </c>
      <c r="K3" s="21" t="s">
        <v>12</v>
      </c>
      <c r="L3" s="18"/>
      <c r="M3" s="18"/>
      <c r="N3" s="18"/>
      <c r="O3" s="18"/>
      <c r="P3" s="18" t="s">
        <v>13</v>
      </c>
      <c r="Q3" s="18"/>
      <c r="R3" s="18"/>
      <c r="S3" s="18"/>
      <c r="T3" s="18"/>
      <c r="U3" s="18"/>
      <c r="V3" s="18" t="s">
        <v>14</v>
      </c>
      <c r="W3" s="18"/>
      <c r="X3" s="18"/>
      <c r="Y3" s="18"/>
      <c r="Z3" s="18"/>
      <c r="AA3" s="18"/>
      <c r="AB3" s="18" t="s">
        <v>15</v>
      </c>
      <c r="AC3" s="18"/>
      <c r="AD3" s="18"/>
      <c r="AE3" s="18"/>
      <c r="AF3" s="18"/>
      <c r="AG3" s="18"/>
      <c r="AH3" s="18" t="s">
        <v>16</v>
      </c>
      <c r="AI3" s="18" t="s">
        <v>17</v>
      </c>
      <c r="AJ3" s="18" t="s">
        <v>18</v>
      </c>
      <c r="AK3" s="18" t="s">
        <v>19</v>
      </c>
      <c r="AL3" s="18" t="s">
        <v>20</v>
      </c>
      <c r="AM3" s="18" t="s">
        <v>21</v>
      </c>
      <c r="AN3" s="22" t="s">
        <v>22</v>
      </c>
    </row>
    <row r="4" s="1" customFormat="1" ht="71" customHeight="1" spans="1:40">
      <c r="A4" s="18"/>
      <c r="B4" s="18"/>
      <c r="C4" s="19"/>
      <c r="D4" s="18"/>
      <c r="E4" s="18"/>
      <c r="F4" s="23"/>
      <c r="G4" s="23"/>
      <c r="H4" s="18"/>
      <c r="I4" s="18"/>
      <c r="J4" s="18"/>
      <c r="K4" s="21" t="s">
        <v>23</v>
      </c>
      <c r="L4" s="18" t="s">
        <v>24</v>
      </c>
      <c r="M4" s="18"/>
      <c r="N4" s="18"/>
      <c r="O4" s="18"/>
      <c r="P4" s="24" t="s">
        <v>25</v>
      </c>
      <c r="Q4" s="25" t="s">
        <v>26</v>
      </c>
      <c r="R4" s="26" t="s">
        <v>27</v>
      </c>
      <c r="S4" s="26" t="s">
        <v>28</v>
      </c>
      <c r="T4" s="26" t="s">
        <v>29</v>
      </c>
      <c r="U4" s="26" t="s">
        <v>30</v>
      </c>
      <c r="V4" s="18" t="s">
        <v>31</v>
      </c>
      <c r="W4" s="18"/>
      <c r="X4" s="18"/>
      <c r="Y4" s="18" t="s">
        <v>32</v>
      </c>
      <c r="Z4" s="18"/>
      <c r="AA4" s="18"/>
      <c r="AB4" s="24" t="s">
        <v>25</v>
      </c>
      <c r="AC4" s="25" t="s">
        <v>26</v>
      </c>
      <c r="AD4" s="26" t="s">
        <v>27</v>
      </c>
      <c r="AE4" s="26" t="s">
        <v>28</v>
      </c>
      <c r="AF4" s="26" t="s">
        <v>29</v>
      </c>
      <c r="AG4" s="26" t="s">
        <v>30</v>
      </c>
      <c r="AH4" s="18"/>
      <c r="AI4" s="18"/>
      <c r="AJ4" s="18"/>
      <c r="AK4" s="18"/>
      <c r="AL4" s="18"/>
      <c r="AM4" s="18"/>
      <c r="AN4" s="27"/>
    </row>
    <row r="5" s="1" customFormat="1" ht="71" customHeight="1" spans="1:40">
      <c r="A5" s="18"/>
      <c r="B5" s="18"/>
      <c r="C5" s="19"/>
      <c r="D5" s="18"/>
      <c r="E5" s="18"/>
      <c r="F5" s="23"/>
      <c r="G5" s="23"/>
      <c r="H5" s="18"/>
      <c r="I5" s="18"/>
      <c r="J5" s="18"/>
      <c r="K5" s="21"/>
      <c r="L5" s="18" t="s">
        <v>33</v>
      </c>
      <c r="M5" s="18" t="s">
        <v>34</v>
      </c>
      <c r="N5" s="18"/>
      <c r="O5" s="26" t="s">
        <v>35</v>
      </c>
      <c r="P5" s="24"/>
      <c r="Q5" s="28"/>
      <c r="R5" s="26"/>
      <c r="S5" s="26"/>
      <c r="T5" s="26"/>
      <c r="U5" s="26"/>
      <c r="V5" s="24" t="s">
        <v>25</v>
      </c>
      <c r="W5" s="25" t="s">
        <v>26</v>
      </c>
      <c r="X5" s="26" t="s">
        <v>36</v>
      </c>
      <c r="Y5" s="24" t="s">
        <v>25</v>
      </c>
      <c r="Z5" s="25" t="s">
        <v>26</v>
      </c>
      <c r="AA5" s="26" t="s">
        <v>36</v>
      </c>
      <c r="AB5" s="24"/>
      <c r="AC5" s="28"/>
      <c r="AD5" s="26"/>
      <c r="AE5" s="26"/>
      <c r="AF5" s="26"/>
      <c r="AG5" s="26"/>
      <c r="AH5" s="18"/>
      <c r="AI5" s="18"/>
      <c r="AJ5" s="18"/>
      <c r="AK5" s="18"/>
      <c r="AL5" s="18"/>
      <c r="AM5" s="18"/>
      <c r="AN5" s="27"/>
    </row>
    <row r="6" s="1" customFormat="1" ht="345" customHeight="1" spans="1:40">
      <c r="A6" s="18"/>
      <c r="B6" s="18"/>
      <c r="C6" s="19"/>
      <c r="D6" s="18"/>
      <c r="E6" s="18"/>
      <c r="F6" s="29"/>
      <c r="G6" s="29"/>
      <c r="H6" s="18"/>
      <c r="I6" s="18"/>
      <c r="J6" s="18"/>
      <c r="K6" s="21"/>
      <c r="L6" s="18"/>
      <c r="M6" s="18" t="s">
        <v>37</v>
      </c>
      <c r="N6" s="18" t="s">
        <v>38</v>
      </c>
      <c r="O6" s="26"/>
      <c r="P6" s="24"/>
      <c r="Q6" s="30"/>
      <c r="R6" s="26"/>
      <c r="S6" s="26"/>
      <c r="T6" s="26"/>
      <c r="U6" s="26"/>
      <c r="V6" s="24"/>
      <c r="W6" s="30"/>
      <c r="X6" s="26"/>
      <c r="Y6" s="24"/>
      <c r="Z6" s="30"/>
      <c r="AA6" s="26"/>
      <c r="AB6" s="24"/>
      <c r="AC6" s="30"/>
      <c r="AD6" s="26"/>
      <c r="AE6" s="26"/>
      <c r="AF6" s="26"/>
      <c r="AG6" s="26"/>
      <c r="AH6" s="18"/>
      <c r="AI6" s="18"/>
      <c r="AJ6" s="18"/>
      <c r="AK6" s="18"/>
      <c r="AL6" s="18"/>
      <c r="AM6" s="18"/>
      <c r="AN6" s="27"/>
    </row>
    <row r="7" s="2" customFormat="1" ht="186" spans="1:40">
      <c r="A7" s="31" t="s">
        <v>39</v>
      </c>
      <c r="B7" s="31" t="s">
        <v>40</v>
      </c>
      <c r="C7" s="32" t="s">
        <v>41</v>
      </c>
      <c r="D7" s="33" t="s">
        <v>42</v>
      </c>
      <c r="E7" s="34">
        <v>44115</v>
      </c>
      <c r="F7" s="35" t="s">
        <v>43</v>
      </c>
      <c r="G7" s="35" t="s">
        <v>44</v>
      </c>
      <c r="H7" s="35" t="s">
        <v>45</v>
      </c>
      <c r="I7" s="35" t="s">
        <v>46</v>
      </c>
      <c r="J7" s="36" t="s">
        <v>47</v>
      </c>
      <c r="K7" s="35" t="s">
        <v>48</v>
      </c>
      <c r="L7" s="36"/>
      <c r="M7" s="37"/>
      <c r="N7" s="32" t="s">
        <v>49</v>
      </c>
      <c r="O7" s="37"/>
      <c r="P7" s="38">
        <v>333.33</v>
      </c>
      <c r="Q7" s="39" t="s">
        <v>50</v>
      </c>
      <c r="R7" s="40">
        <v>1405000</v>
      </c>
      <c r="S7" s="37"/>
      <c r="T7" s="41">
        <f>R7</f>
        <v>1405000</v>
      </c>
      <c r="U7" s="37"/>
      <c r="V7" s="37"/>
      <c r="W7" s="37"/>
      <c r="X7" s="37"/>
      <c r="Y7" s="37"/>
      <c r="Z7" s="37"/>
      <c r="AA7" s="37"/>
      <c r="AB7" s="42">
        <f>P7</f>
        <v>333.33</v>
      </c>
      <c r="AC7" s="43" t="str">
        <f>Q7</f>
        <v>平方米</v>
      </c>
      <c r="AD7" s="41">
        <f>R7</f>
        <v>1405000</v>
      </c>
      <c r="AE7" s="37">
        <v>0</v>
      </c>
      <c r="AF7" s="41">
        <f>R7</f>
        <v>1405000</v>
      </c>
      <c r="AG7" s="37" t="s">
        <v>51</v>
      </c>
      <c r="AH7" s="35" t="s">
        <v>44</v>
      </c>
      <c r="AI7" s="32" t="s">
        <v>49</v>
      </c>
      <c r="AJ7" s="32" t="s">
        <v>49</v>
      </c>
      <c r="AK7" s="44"/>
      <c r="AL7" s="45"/>
      <c r="AM7" s="46"/>
      <c r="AN7" s="47"/>
    </row>
    <row r="8" s="2" customFormat="1" ht="246" spans="1:40">
      <c r="A8" s="31" t="s">
        <v>39</v>
      </c>
      <c r="B8" s="31" t="s">
        <v>40</v>
      </c>
      <c r="C8" s="32" t="s">
        <v>41</v>
      </c>
      <c r="D8" s="33" t="s">
        <v>52</v>
      </c>
      <c r="E8" s="34">
        <v>33693</v>
      </c>
      <c r="F8" s="35" t="s">
        <v>53</v>
      </c>
      <c r="G8" s="35" t="s">
        <v>44</v>
      </c>
      <c r="H8" s="35" t="s">
        <v>45</v>
      </c>
      <c r="I8" s="35" t="s">
        <v>46</v>
      </c>
      <c r="J8" s="36" t="s">
        <v>47</v>
      </c>
      <c r="K8" s="35" t="s">
        <v>48</v>
      </c>
      <c r="L8" s="36"/>
      <c r="M8" s="37"/>
      <c r="N8" s="32"/>
      <c r="O8" s="37"/>
      <c r="P8" s="38">
        <v>220</v>
      </c>
      <c r="Q8" s="39" t="s">
        <v>50</v>
      </c>
      <c r="R8" s="40">
        <v>66000</v>
      </c>
      <c r="S8" s="37"/>
      <c r="T8" s="41">
        <f t="shared" ref="T8:T39" si="0">R8</f>
        <v>66000</v>
      </c>
      <c r="U8" s="37"/>
      <c r="V8" s="37"/>
      <c r="W8" s="37"/>
      <c r="X8" s="37"/>
      <c r="Y8" s="37"/>
      <c r="Z8" s="37"/>
      <c r="AA8" s="37"/>
      <c r="AB8" s="42">
        <f t="shared" ref="AB8:AB39" si="1">P8</f>
        <v>220</v>
      </c>
      <c r="AC8" s="43" t="str">
        <f t="shared" ref="AC8:AC39" si="2">Q8</f>
        <v>平方米</v>
      </c>
      <c r="AD8" s="41">
        <f t="shared" ref="AD8:AD39" si="3">R8</f>
        <v>66000</v>
      </c>
      <c r="AE8" s="37">
        <v>0</v>
      </c>
      <c r="AF8" s="41">
        <f t="shared" ref="AF8:AF39" si="4">R8</f>
        <v>66000</v>
      </c>
      <c r="AG8" s="37" t="s">
        <v>51</v>
      </c>
      <c r="AH8" s="35" t="s">
        <v>44</v>
      </c>
      <c r="AI8" s="32"/>
      <c r="AJ8" s="32"/>
      <c r="AK8" s="44"/>
      <c r="AL8" s="45"/>
      <c r="AM8" s="46"/>
      <c r="AN8" s="47"/>
    </row>
    <row r="9" s="2" customFormat="1" ht="186" spans="1:40">
      <c r="A9" s="31" t="s">
        <v>39</v>
      </c>
      <c r="B9" s="31" t="s">
        <v>40</v>
      </c>
      <c r="C9" s="32" t="s">
        <v>41</v>
      </c>
      <c r="D9" s="33" t="s">
        <v>54</v>
      </c>
      <c r="E9" s="34">
        <v>40024</v>
      </c>
      <c r="F9" s="35" t="s">
        <v>43</v>
      </c>
      <c r="G9" s="35" t="s">
        <v>44</v>
      </c>
      <c r="H9" s="35" t="s">
        <v>45</v>
      </c>
      <c r="I9" s="35" t="s">
        <v>46</v>
      </c>
      <c r="J9" s="36" t="s">
        <v>47</v>
      </c>
      <c r="K9" s="35" t="s">
        <v>48</v>
      </c>
      <c r="L9" s="36"/>
      <c r="M9" s="37"/>
      <c r="N9" s="32"/>
      <c r="O9" s="37"/>
      <c r="P9" s="38">
        <v>120</v>
      </c>
      <c r="Q9" s="39" t="s">
        <v>50</v>
      </c>
      <c r="R9" s="48">
        <v>120000</v>
      </c>
      <c r="S9" s="37"/>
      <c r="T9" s="41">
        <f t="shared" si="0"/>
        <v>120000</v>
      </c>
      <c r="U9" s="37"/>
      <c r="V9" s="37"/>
      <c r="W9" s="37"/>
      <c r="X9" s="37"/>
      <c r="Y9" s="37"/>
      <c r="Z9" s="37"/>
      <c r="AA9" s="37"/>
      <c r="AB9" s="42">
        <f t="shared" si="1"/>
        <v>120</v>
      </c>
      <c r="AC9" s="43" t="str">
        <f t="shared" si="2"/>
        <v>平方米</v>
      </c>
      <c r="AD9" s="41">
        <f t="shared" si="3"/>
        <v>120000</v>
      </c>
      <c r="AE9" s="37">
        <v>0</v>
      </c>
      <c r="AF9" s="41">
        <f t="shared" si="4"/>
        <v>120000</v>
      </c>
      <c r="AG9" s="37" t="s">
        <v>51</v>
      </c>
      <c r="AH9" s="35" t="s">
        <v>44</v>
      </c>
      <c r="AI9" s="32"/>
      <c r="AJ9" s="32"/>
      <c r="AK9" s="44"/>
      <c r="AL9" s="45"/>
      <c r="AM9" s="46"/>
      <c r="AN9" s="47"/>
    </row>
    <row r="10" s="2" customFormat="1" ht="246" spans="1:40">
      <c r="A10" s="31" t="s">
        <v>39</v>
      </c>
      <c r="B10" s="31" t="s">
        <v>40</v>
      </c>
      <c r="C10" s="32" t="s">
        <v>41</v>
      </c>
      <c r="D10" s="33" t="s">
        <v>55</v>
      </c>
      <c r="E10" s="34">
        <v>42551</v>
      </c>
      <c r="F10" s="35" t="s">
        <v>53</v>
      </c>
      <c r="G10" s="35" t="s">
        <v>44</v>
      </c>
      <c r="H10" s="35" t="s">
        <v>45</v>
      </c>
      <c r="I10" s="35" t="s">
        <v>56</v>
      </c>
      <c r="J10" s="36" t="s">
        <v>47</v>
      </c>
      <c r="K10" s="35" t="s">
        <v>48</v>
      </c>
      <c r="L10" s="36"/>
      <c r="M10" s="37"/>
      <c r="N10" s="32"/>
      <c r="O10" s="37"/>
      <c r="P10" s="38">
        <v>2500</v>
      </c>
      <c r="Q10" s="39" t="s">
        <v>50</v>
      </c>
      <c r="R10" s="40">
        <v>290000</v>
      </c>
      <c r="S10" s="37"/>
      <c r="T10" s="41">
        <f t="shared" si="0"/>
        <v>290000</v>
      </c>
      <c r="U10" s="37"/>
      <c r="V10" s="37"/>
      <c r="W10" s="37"/>
      <c r="X10" s="37"/>
      <c r="Y10" s="37"/>
      <c r="Z10" s="37"/>
      <c r="AA10" s="37"/>
      <c r="AB10" s="42">
        <f t="shared" si="1"/>
        <v>2500</v>
      </c>
      <c r="AC10" s="43" t="str">
        <f t="shared" si="2"/>
        <v>平方米</v>
      </c>
      <c r="AD10" s="41">
        <f t="shared" si="3"/>
        <v>290000</v>
      </c>
      <c r="AE10" s="37">
        <v>0</v>
      </c>
      <c r="AF10" s="41">
        <f t="shared" si="4"/>
        <v>290000</v>
      </c>
      <c r="AG10" s="37" t="s">
        <v>51</v>
      </c>
      <c r="AH10" s="35" t="s">
        <v>44</v>
      </c>
      <c r="AI10" s="32"/>
      <c r="AJ10" s="32"/>
      <c r="AK10" s="44"/>
      <c r="AL10" s="45"/>
      <c r="AM10" s="46"/>
      <c r="AN10" s="47"/>
    </row>
    <row r="11" s="2" customFormat="1" ht="246" spans="1:40">
      <c r="A11" s="31" t="s">
        <v>39</v>
      </c>
      <c r="B11" s="31" t="s">
        <v>40</v>
      </c>
      <c r="C11" s="32" t="s">
        <v>57</v>
      </c>
      <c r="D11" s="33" t="s">
        <v>58</v>
      </c>
      <c r="E11" s="34">
        <v>44316</v>
      </c>
      <c r="F11" s="35" t="s">
        <v>53</v>
      </c>
      <c r="G11" s="35" t="s">
        <v>44</v>
      </c>
      <c r="H11" s="35" t="s">
        <v>45</v>
      </c>
      <c r="I11" s="35" t="s">
        <v>59</v>
      </c>
      <c r="J11" s="36" t="s">
        <v>47</v>
      </c>
      <c r="K11" s="35" t="s">
        <v>48</v>
      </c>
      <c r="L11" s="36"/>
      <c r="M11" s="37"/>
      <c r="N11" s="32"/>
      <c r="O11" s="37"/>
      <c r="P11" s="38">
        <v>66</v>
      </c>
      <c r="Q11" s="39" t="s">
        <v>60</v>
      </c>
      <c r="R11" s="40">
        <v>165000</v>
      </c>
      <c r="S11" s="37"/>
      <c r="T11" s="41">
        <f t="shared" si="0"/>
        <v>165000</v>
      </c>
      <c r="U11" s="37"/>
      <c r="V11" s="37"/>
      <c r="W11" s="37"/>
      <c r="X11" s="37"/>
      <c r="Y11" s="37"/>
      <c r="Z11" s="37"/>
      <c r="AA11" s="37"/>
      <c r="AB11" s="42">
        <f t="shared" si="1"/>
        <v>66</v>
      </c>
      <c r="AC11" s="43" t="str">
        <f t="shared" si="2"/>
        <v>盏</v>
      </c>
      <c r="AD11" s="41">
        <f t="shared" si="3"/>
        <v>165000</v>
      </c>
      <c r="AE11" s="37">
        <v>0</v>
      </c>
      <c r="AF11" s="41">
        <f t="shared" si="4"/>
        <v>165000</v>
      </c>
      <c r="AG11" s="37" t="s">
        <v>51</v>
      </c>
      <c r="AH11" s="35" t="s">
        <v>44</v>
      </c>
      <c r="AI11" s="32"/>
      <c r="AJ11" s="32"/>
      <c r="AK11" s="44"/>
      <c r="AL11" s="45"/>
      <c r="AM11" s="46"/>
      <c r="AN11" s="47"/>
    </row>
    <row r="12" s="2" customFormat="1" ht="184.5" spans="1:40">
      <c r="A12" s="31" t="s">
        <v>39</v>
      </c>
      <c r="B12" s="31" t="s">
        <v>40</v>
      </c>
      <c r="C12" s="32" t="s">
        <v>57</v>
      </c>
      <c r="D12" s="33" t="s">
        <v>61</v>
      </c>
      <c r="E12" s="34">
        <v>44115</v>
      </c>
      <c r="F12" s="35" t="s">
        <v>62</v>
      </c>
      <c r="G12" s="35" t="s">
        <v>44</v>
      </c>
      <c r="H12" s="35" t="s">
        <v>45</v>
      </c>
      <c r="I12" s="35" t="s">
        <v>63</v>
      </c>
      <c r="J12" s="36" t="s">
        <v>47</v>
      </c>
      <c r="K12" s="35" t="s">
        <v>48</v>
      </c>
      <c r="L12" s="36"/>
      <c r="M12" s="37"/>
      <c r="N12" s="32"/>
      <c r="O12" s="37"/>
      <c r="P12" s="38">
        <v>1</v>
      </c>
      <c r="Q12" s="39" t="s">
        <v>64</v>
      </c>
      <c r="R12" s="40">
        <v>7500</v>
      </c>
      <c r="S12" s="37"/>
      <c r="T12" s="41">
        <f t="shared" si="0"/>
        <v>7500</v>
      </c>
      <c r="U12" s="37"/>
      <c r="V12" s="37"/>
      <c r="W12" s="37"/>
      <c r="X12" s="37"/>
      <c r="Y12" s="37"/>
      <c r="Z12" s="37"/>
      <c r="AA12" s="37"/>
      <c r="AB12" s="42">
        <f t="shared" si="1"/>
        <v>1</v>
      </c>
      <c r="AC12" s="43" t="str">
        <f t="shared" si="2"/>
        <v>台</v>
      </c>
      <c r="AD12" s="41">
        <f t="shared" si="3"/>
        <v>7500</v>
      </c>
      <c r="AE12" s="37">
        <v>0</v>
      </c>
      <c r="AF12" s="41">
        <f t="shared" si="4"/>
        <v>7500</v>
      </c>
      <c r="AG12" s="37" t="s">
        <v>51</v>
      </c>
      <c r="AH12" s="35" t="s">
        <v>44</v>
      </c>
      <c r="AI12" s="32"/>
      <c r="AJ12" s="32"/>
      <c r="AK12" s="44"/>
      <c r="AL12" s="45"/>
      <c r="AM12" s="46"/>
      <c r="AN12" s="47"/>
    </row>
    <row r="13" s="2" customFormat="1" ht="184.5" spans="1:40">
      <c r="A13" s="31" t="s">
        <v>39</v>
      </c>
      <c r="B13" s="31" t="s">
        <v>40</v>
      </c>
      <c r="C13" s="32" t="s">
        <v>57</v>
      </c>
      <c r="D13" s="33" t="s">
        <v>65</v>
      </c>
      <c r="E13" s="34">
        <v>44115</v>
      </c>
      <c r="F13" s="35" t="s">
        <v>62</v>
      </c>
      <c r="G13" s="35" t="s">
        <v>44</v>
      </c>
      <c r="H13" s="35" t="s">
        <v>45</v>
      </c>
      <c r="I13" s="35" t="s">
        <v>66</v>
      </c>
      <c r="J13" s="36" t="s">
        <v>47</v>
      </c>
      <c r="K13" s="35" t="s">
        <v>48</v>
      </c>
      <c r="L13" s="36"/>
      <c r="M13" s="37"/>
      <c r="N13" s="32"/>
      <c r="O13" s="37"/>
      <c r="P13" s="38">
        <v>1</v>
      </c>
      <c r="Q13" s="39" t="s">
        <v>64</v>
      </c>
      <c r="R13" s="40">
        <v>4900</v>
      </c>
      <c r="S13" s="37"/>
      <c r="T13" s="41">
        <f t="shared" si="0"/>
        <v>4900</v>
      </c>
      <c r="U13" s="37"/>
      <c r="V13" s="37"/>
      <c r="W13" s="37"/>
      <c r="X13" s="37"/>
      <c r="Y13" s="37"/>
      <c r="Z13" s="37"/>
      <c r="AA13" s="37"/>
      <c r="AB13" s="42">
        <f t="shared" si="1"/>
        <v>1</v>
      </c>
      <c r="AC13" s="43" t="str">
        <f t="shared" si="2"/>
        <v>台</v>
      </c>
      <c r="AD13" s="41">
        <f t="shared" si="3"/>
        <v>4900</v>
      </c>
      <c r="AE13" s="37">
        <v>0</v>
      </c>
      <c r="AF13" s="41">
        <f t="shared" si="4"/>
        <v>4900</v>
      </c>
      <c r="AG13" s="37" t="s">
        <v>51</v>
      </c>
      <c r="AH13" s="35" t="s">
        <v>44</v>
      </c>
      <c r="AI13" s="32"/>
      <c r="AJ13" s="32"/>
      <c r="AK13" s="44"/>
      <c r="AL13" s="45"/>
      <c r="AM13" s="46"/>
      <c r="AN13" s="47"/>
    </row>
    <row r="14" s="2" customFormat="1" ht="184.5" spans="1:40">
      <c r="A14" s="31" t="s">
        <v>39</v>
      </c>
      <c r="B14" s="31" t="s">
        <v>40</v>
      </c>
      <c r="C14" s="32" t="s">
        <v>57</v>
      </c>
      <c r="D14" s="33" t="s">
        <v>67</v>
      </c>
      <c r="E14" s="34">
        <v>44115</v>
      </c>
      <c r="F14" s="35" t="s">
        <v>62</v>
      </c>
      <c r="G14" s="35" t="s">
        <v>44</v>
      </c>
      <c r="H14" s="35" t="s">
        <v>45</v>
      </c>
      <c r="I14" s="35" t="s">
        <v>68</v>
      </c>
      <c r="J14" s="36" t="s">
        <v>47</v>
      </c>
      <c r="K14" s="35" t="s">
        <v>48</v>
      </c>
      <c r="L14" s="36"/>
      <c r="M14" s="37"/>
      <c r="N14" s="32"/>
      <c r="O14" s="37"/>
      <c r="P14" s="38">
        <v>1</v>
      </c>
      <c r="Q14" s="39" t="s">
        <v>64</v>
      </c>
      <c r="R14" s="40">
        <v>40000</v>
      </c>
      <c r="S14" s="37"/>
      <c r="T14" s="41">
        <f t="shared" si="0"/>
        <v>40000</v>
      </c>
      <c r="U14" s="37"/>
      <c r="V14" s="37"/>
      <c r="W14" s="37"/>
      <c r="X14" s="37"/>
      <c r="Y14" s="37"/>
      <c r="Z14" s="37"/>
      <c r="AA14" s="37"/>
      <c r="AB14" s="42">
        <f t="shared" si="1"/>
        <v>1</v>
      </c>
      <c r="AC14" s="43" t="str">
        <f t="shared" si="2"/>
        <v>台</v>
      </c>
      <c r="AD14" s="41">
        <f t="shared" si="3"/>
        <v>40000</v>
      </c>
      <c r="AE14" s="37">
        <v>0</v>
      </c>
      <c r="AF14" s="41">
        <f t="shared" si="4"/>
        <v>40000</v>
      </c>
      <c r="AG14" s="37" t="s">
        <v>51</v>
      </c>
      <c r="AH14" s="35" t="s">
        <v>44</v>
      </c>
      <c r="AI14" s="32"/>
      <c r="AJ14" s="32"/>
      <c r="AK14" s="44"/>
      <c r="AL14" s="45"/>
      <c r="AM14" s="46"/>
      <c r="AN14" s="47"/>
    </row>
    <row r="15" s="2" customFormat="1" ht="184.5" spans="1:40">
      <c r="A15" s="31" t="s">
        <v>39</v>
      </c>
      <c r="B15" s="31" t="s">
        <v>40</v>
      </c>
      <c r="C15" s="32" t="s">
        <v>57</v>
      </c>
      <c r="D15" s="33" t="s">
        <v>69</v>
      </c>
      <c r="E15" s="34">
        <v>44115</v>
      </c>
      <c r="F15" s="35" t="s">
        <v>62</v>
      </c>
      <c r="G15" s="35" t="s">
        <v>44</v>
      </c>
      <c r="H15" s="35" t="s">
        <v>45</v>
      </c>
      <c r="I15" s="35" t="s">
        <v>70</v>
      </c>
      <c r="J15" s="36" t="s">
        <v>47</v>
      </c>
      <c r="K15" s="35" t="s">
        <v>48</v>
      </c>
      <c r="L15" s="36"/>
      <c r="M15" s="37"/>
      <c r="N15" s="32"/>
      <c r="O15" s="37"/>
      <c r="P15" s="38">
        <v>1</v>
      </c>
      <c r="Q15" s="39" t="s">
        <v>64</v>
      </c>
      <c r="R15" s="40">
        <v>7000</v>
      </c>
      <c r="S15" s="37"/>
      <c r="T15" s="41">
        <f t="shared" si="0"/>
        <v>7000</v>
      </c>
      <c r="U15" s="37"/>
      <c r="V15" s="37"/>
      <c r="W15" s="37"/>
      <c r="X15" s="37"/>
      <c r="Y15" s="37"/>
      <c r="Z15" s="37"/>
      <c r="AA15" s="37"/>
      <c r="AB15" s="42">
        <f t="shared" si="1"/>
        <v>1</v>
      </c>
      <c r="AC15" s="43" t="str">
        <f t="shared" si="2"/>
        <v>台</v>
      </c>
      <c r="AD15" s="41">
        <f t="shared" si="3"/>
        <v>7000</v>
      </c>
      <c r="AE15" s="37">
        <v>0</v>
      </c>
      <c r="AF15" s="41">
        <f t="shared" si="4"/>
        <v>7000</v>
      </c>
      <c r="AG15" s="37" t="s">
        <v>51</v>
      </c>
      <c r="AH15" s="35" t="s">
        <v>44</v>
      </c>
      <c r="AI15" s="32"/>
      <c r="AJ15" s="32"/>
      <c r="AK15" s="44"/>
      <c r="AL15" s="45"/>
      <c r="AM15" s="46"/>
      <c r="AN15" s="47"/>
    </row>
    <row r="16" s="2" customFormat="1" ht="184.5" spans="1:40">
      <c r="A16" s="31" t="s">
        <v>39</v>
      </c>
      <c r="B16" s="31" t="s">
        <v>40</v>
      </c>
      <c r="C16" s="32" t="s">
        <v>57</v>
      </c>
      <c r="D16" s="33" t="s">
        <v>71</v>
      </c>
      <c r="E16" s="34">
        <v>44115</v>
      </c>
      <c r="F16" s="35" t="s">
        <v>62</v>
      </c>
      <c r="G16" s="35" t="s">
        <v>44</v>
      </c>
      <c r="H16" s="35" t="s">
        <v>45</v>
      </c>
      <c r="I16" s="35" t="s">
        <v>72</v>
      </c>
      <c r="J16" s="36" t="s">
        <v>47</v>
      </c>
      <c r="K16" s="35" t="s">
        <v>48</v>
      </c>
      <c r="L16" s="36"/>
      <c r="M16" s="37"/>
      <c r="N16" s="32"/>
      <c r="O16" s="37"/>
      <c r="P16" s="38">
        <v>1</v>
      </c>
      <c r="Q16" s="39" t="s">
        <v>64</v>
      </c>
      <c r="R16" s="40">
        <v>2800</v>
      </c>
      <c r="S16" s="37"/>
      <c r="T16" s="41">
        <f t="shared" si="0"/>
        <v>2800</v>
      </c>
      <c r="U16" s="37"/>
      <c r="V16" s="37"/>
      <c r="W16" s="37"/>
      <c r="X16" s="37"/>
      <c r="Y16" s="37"/>
      <c r="Z16" s="37"/>
      <c r="AA16" s="37"/>
      <c r="AB16" s="42">
        <f t="shared" si="1"/>
        <v>1</v>
      </c>
      <c r="AC16" s="43" t="str">
        <f t="shared" si="2"/>
        <v>台</v>
      </c>
      <c r="AD16" s="41">
        <f t="shared" si="3"/>
        <v>2800</v>
      </c>
      <c r="AE16" s="37">
        <v>0</v>
      </c>
      <c r="AF16" s="41">
        <f t="shared" si="4"/>
        <v>2800</v>
      </c>
      <c r="AG16" s="37" t="s">
        <v>51</v>
      </c>
      <c r="AH16" s="35" t="s">
        <v>44</v>
      </c>
      <c r="AI16" s="32"/>
      <c r="AJ16" s="32"/>
      <c r="AK16" s="44"/>
      <c r="AL16" s="45"/>
      <c r="AM16" s="46"/>
      <c r="AN16" s="47"/>
    </row>
    <row r="17" s="2" customFormat="1" ht="186" spans="1:41">
      <c r="A17" s="31" t="s">
        <v>39</v>
      </c>
      <c r="B17" s="31" t="s">
        <v>40</v>
      </c>
      <c r="C17" s="32" t="s">
        <v>73</v>
      </c>
      <c r="D17" s="33" t="s">
        <v>74</v>
      </c>
      <c r="E17" s="34">
        <v>44115</v>
      </c>
      <c r="F17" s="35" t="s">
        <v>62</v>
      </c>
      <c r="G17" s="35" t="s">
        <v>44</v>
      </c>
      <c r="H17" s="35" t="s">
        <v>45</v>
      </c>
      <c r="I17" s="35" t="s">
        <v>75</v>
      </c>
      <c r="J17" s="36" t="s">
        <v>47</v>
      </c>
      <c r="K17" s="35" t="s">
        <v>48</v>
      </c>
      <c r="L17" s="36"/>
      <c r="M17" s="37"/>
      <c r="N17" s="32"/>
      <c r="O17" s="37"/>
      <c r="P17" s="38">
        <v>1</v>
      </c>
      <c r="Q17" s="39" t="s">
        <v>76</v>
      </c>
      <c r="R17" s="40">
        <v>1000</v>
      </c>
      <c r="S17" s="37"/>
      <c r="T17" s="41">
        <f t="shared" si="0"/>
        <v>1000</v>
      </c>
      <c r="U17" s="37"/>
      <c r="V17" s="37"/>
      <c r="W17" s="37"/>
      <c r="X17" s="37"/>
      <c r="Y17" s="37"/>
      <c r="Z17" s="37"/>
      <c r="AA17" s="37"/>
      <c r="AB17" s="42">
        <f t="shared" si="1"/>
        <v>1</v>
      </c>
      <c r="AC17" s="43" t="str">
        <f t="shared" si="2"/>
        <v>张</v>
      </c>
      <c r="AD17" s="41">
        <f t="shared" si="3"/>
        <v>1000</v>
      </c>
      <c r="AE17" s="37">
        <v>0</v>
      </c>
      <c r="AF17" s="41">
        <f t="shared" si="4"/>
        <v>1000</v>
      </c>
      <c r="AG17" s="37" t="s">
        <v>51</v>
      </c>
      <c r="AH17" s="35" t="s">
        <v>44</v>
      </c>
      <c r="AI17" s="32"/>
      <c r="AJ17" s="32"/>
      <c r="AK17" s="44"/>
      <c r="AL17" s="45"/>
      <c r="AM17" s="46"/>
      <c r="AN17" s="47"/>
    </row>
    <row r="18" s="2" customFormat="1" ht="246" spans="1:41">
      <c r="A18" s="49" t="s">
        <v>39</v>
      </c>
      <c r="B18" s="49" t="s">
        <v>40</v>
      </c>
      <c r="C18" s="50" t="s">
        <v>57</v>
      </c>
      <c r="D18" s="33" t="s">
        <v>77</v>
      </c>
      <c r="E18" s="34">
        <v>44115</v>
      </c>
      <c r="F18" s="51" t="s">
        <v>53</v>
      </c>
      <c r="G18" s="51" t="s">
        <v>44</v>
      </c>
      <c r="H18" s="51" t="s">
        <v>45</v>
      </c>
      <c r="I18" s="51" t="s">
        <v>78</v>
      </c>
      <c r="J18" s="52" t="s">
        <v>47</v>
      </c>
      <c r="K18" s="51" t="s">
        <v>48</v>
      </c>
      <c r="L18" s="52"/>
      <c r="M18" s="53"/>
      <c r="N18" s="50"/>
      <c r="O18" s="53"/>
      <c r="P18" s="54">
        <v>1</v>
      </c>
      <c r="Q18" s="55" t="s">
        <v>64</v>
      </c>
      <c r="R18" s="56">
        <v>1500</v>
      </c>
      <c r="S18" s="53"/>
      <c r="T18" s="41">
        <f t="shared" si="0"/>
        <v>1500</v>
      </c>
      <c r="U18" s="53"/>
      <c r="V18" s="53"/>
      <c r="W18" s="53"/>
      <c r="X18" s="53"/>
      <c r="Y18" s="53"/>
      <c r="Z18" s="53"/>
      <c r="AA18" s="53"/>
      <c r="AB18" s="57">
        <f t="shared" si="1"/>
        <v>1</v>
      </c>
      <c r="AC18" s="43" t="str">
        <f t="shared" si="2"/>
        <v>台</v>
      </c>
      <c r="AD18" s="41">
        <f t="shared" si="3"/>
        <v>1500</v>
      </c>
      <c r="AE18" s="53">
        <v>0</v>
      </c>
      <c r="AF18" s="41">
        <f t="shared" si="4"/>
        <v>1500</v>
      </c>
      <c r="AG18" s="53" t="s">
        <v>51</v>
      </c>
      <c r="AH18" s="51" t="s">
        <v>44</v>
      </c>
      <c r="AI18" s="50"/>
      <c r="AJ18" s="50"/>
      <c r="AK18" s="58"/>
      <c r="AL18" s="59"/>
      <c r="AM18" s="60"/>
      <c r="AN18" s="61"/>
    </row>
    <row r="19" s="2" customFormat="1" ht="246" spans="1:41">
      <c r="A19" s="62" t="s">
        <v>39</v>
      </c>
      <c r="B19" s="62" t="s">
        <v>40</v>
      </c>
      <c r="C19" s="63" t="s">
        <v>79</v>
      </c>
      <c r="D19" s="33" t="s">
        <v>61</v>
      </c>
      <c r="E19" s="34">
        <v>44115</v>
      </c>
      <c r="F19" s="64" t="s">
        <v>53</v>
      </c>
      <c r="G19" s="64" t="s">
        <v>44</v>
      </c>
      <c r="H19" s="64" t="s">
        <v>45</v>
      </c>
      <c r="I19" s="64" t="s">
        <v>80</v>
      </c>
      <c r="J19" s="65" t="s">
        <v>47</v>
      </c>
      <c r="K19" s="35" t="s">
        <v>48</v>
      </c>
      <c r="L19" s="65"/>
      <c r="M19" s="66"/>
      <c r="N19" s="63"/>
      <c r="O19" s="66"/>
      <c r="P19" s="38">
        <v>1</v>
      </c>
      <c r="Q19" s="55" t="s">
        <v>64</v>
      </c>
      <c r="R19" s="38">
        <v>3500</v>
      </c>
      <c r="S19" s="66"/>
      <c r="T19" s="41">
        <f t="shared" si="0"/>
        <v>3500</v>
      </c>
      <c r="U19" s="66"/>
      <c r="V19" s="66"/>
      <c r="W19" s="66"/>
      <c r="X19" s="66"/>
      <c r="Y19" s="66"/>
      <c r="Z19" s="67"/>
      <c r="AA19" s="66"/>
      <c r="AB19" s="57">
        <v>1</v>
      </c>
      <c r="AC19" s="43" t="str">
        <f t="shared" si="2"/>
        <v>台</v>
      </c>
      <c r="AD19" s="41">
        <f t="shared" si="3"/>
        <v>3500</v>
      </c>
      <c r="AE19" s="66">
        <v>0</v>
      </c>
      <c r="AF19" s="41">
        <f t="shared" si="4"/>
        <v>3500</v>
      </c>
      <c r="AG19" s="66" t="s">
        <v>51</v>
      </c>
      <c r="AH19" s="64" t="s">
        <v>44</v>
      </c>
      <c r="AI19" s="63"/>
      <c r="AJ19" s="63"/>
      <c r="AK19" s="44"/>
      <c r="AL19" s="68"/>
      <c r="AM19" s="69"/>
      <c r="AN19" s="68"/>
      <c r="AO19" s="45"/>
    </row>
    <row r="20" s="2" customFormat="1" ht="246" spans="1:41">
      <c r="A20" s="70" t="s">
        <v>39</v>
      </c>
      <c r="B20" s="70" t="s">
        <v>40</v>
      </c>
      <c r="C20" s="71" t="s">
        <v>41</v>
      </c>
      <c r="D20" s="33" t="s">
        <v>81</v>
      </c>
      <c r="E20" s="72">
        <v>41120</v>
      </c>
      <c r="F20" s="73" t="s">
        <v>53</v>
      </c>
      <c r="G20" s="73" t="s">
        <v>44</v>
      </c>
      <c r="H20" s="73" t="s">
        <v>45</v>
      </c>
      <c r="I20" s="73" t="s">
        <v>82</v>
      </c>
      <c r="J20" s="74" t="s">
        <v>47</v>
      </c>
      <c r="K20" s="73" t="s">
        <v>48</v>
      </c>
      <c r="L20" s="74"/>
      <c r="M20" s="75"/>
      <c r="N20" s="71"/>
      <c r="O20" s="75"/>
      <c r="P20" s="38">
        <v>57</v>
      </c>
      <c r="Q20" s="76" t="s">
        <v>83</v>
      </c>
      <c r="R20" s="77">
        <v>1260000</v>
      </c>
      <c r="S20" s="75"/>
      <c r="T20" s="41">
        <f t="shared" si="0"/>
        <v>1260000</v>
      </c>
      <c r="U20" s="75"/>
      <c r="V20" s="75"/>
      <c r="W20" s="75"/>
      <c r="X20" s="75"/>
      <c r="Y20" s="75"/>
      <c r="Z20" s="75"/>
      <c r="AA20" s="75"/>
      <c r="AB20" s="78">
        <f t="shared" si="1"/>
        <v>57</v>
      </c>
      <c r="AC20" s="43" t="str">
        <f t="shared" si="2"/>
        <v>眼</v>
      </c>
      <c r="AD20" s="41">
        <f t="shared" si="3"/>
        <v>1260000</v>
      </c>
      <c r="AE20" s="75">
        <v>0</v>
      </c>
      <c r="AF20" s="41">
        <f t="shared" si="4"/>
        <v>1260000</v>
      </c>
      <c r="AG20" s="75" t="s">
        <v>51</v>
      </c>
      <c r="AH20" s="73" t="s">
        <v>44</v>
      </c>
      <c r="AI20" s="71"/>
      <c r="AJ20" s="71"/>
      <c r="AK20" s="79"/>
      <c r="AL20" s="80"/>
      <c r="AM20" s="81"/>
      <c r="AN20" s="82"/>
    </row>
    <row r="21" s="2" customFormat="1" ht="246" spans="1:41">
      <c r="A21" s="31" t="s">
        <v>39</v>
      </c>
      <c r="B21" s="31" t="s">
        <v>40</v>
      </c>
      <c r="C21" s="32" t="s">
        <v>84</v>
      </c>
      <c r="D21" s="33" t="s">
        <v>85</v>
      </c>
      <c r="E21" s="34">
        <v>44482</v>
      </c>
      <c r="F21" s="35" t="s">
        <v>53</v>
      </c>
      <c r="G21" s="35" t="s">
        <v>44</v>
      </c>
      <c r="H21" s="35" t="s">
        <v>45</v>
      </c>
      <c r="I21" s="35" t="s">
        <v>86</v>
      </c>
      <c r="J21" s="36" t="s">
        <v>47</v>
      </c>
      <c r="K21" s="35" t="s">
        <v>48</v>
      </c>
      <c r="L21" s="36"/>
      <c r="M21" s="37"/>
      <c r="N21" s="32"/>
      <c r="O21" s="37"/>
      <c r="P21" s="83">
        <v>11</v>
      </c>
      <c r="Q21" s="84" t="s">
        <v>83</v>
      </c>
      <c r="R21" s="40">
        <v>1956600</v>
      </c>
      <c r="S21" s="37"/>
      <c r="T21" s="41">
        <f t="shared" si="0"/>
        <v>1956600</v>
      </c>
      <c r="U21" s="37"/>
      <c r="V21" s="37"/>
      <c r="W21" s="37"/>
      <c r="X21" s="37"/>
      <c r="Y21" s="37"/>
      <c r="Z21" s="37"/>
      <c r="AA21" s="37"/>
      <c r="AB21" s="42">
        <f t="shared" si="1"/>
        <v>11</v>
      </c>
      <c r="AC21" s="43" t="str">
        <f t="shared" si="2"/>
        <v>眼</v>
      </c>
      <c r="AD21" s="41">
        <f t="shared" si="3"/>
        <v>1956600</v>
      </c>
      <c r="AE21" s="37">
        <v>0</v>
      </c>
      <c r="AF21" s="41">
        <f t="shared" si="4"/>
        <v>1956600</v>
      </c>
      <c r="AG21" s="37" t="s">
        <v>51</v>
      </c>
      <c r="AH21" s="35" t="s">
        <v>44</v>
      </c>
      <c r="AI21" s="32"/>
      <c r="AJ21" s="32"/>
      <c r="AK21" s="44"/>
      <c r="AL21" s="45"/>
      <c r="AM21" s="46"/>
      <c r="AN21" s="47"/>
    </row>
    <row r="22" s="2" customFormat="1" ht="186" spans="1:41">
      <c r="A22" s="31" t="s">
        <v>39</v>
      </c>
      <c r="B22" s="31" t="s">
        <v>40</v>
      </c>
      <c r="C22" s="32" t="s">
        <v>84</v>
      </c>
      <c r="D22" s="33" t="s">
        <v>87</v>
      </c>
      <c r="E22" s="34">
        <v>42916</v>
      </c>
      <c r="F22" s="35" t="s">
        <v>62</v>
      </c>
      <c r="G22" s="35" t="s">
        <v>44</v>
      </c>
      <c r="H22" s="35" t="s">
        <v>45</v>
      </c>
      <c r="I22" s="35" t="s">
        <v>88</v>
      </c>
      <c r="J22" s="36" t="s">
        <v>47</v>
      </c>
      <c r="K22" s="35" t="s">
        <v>48</v>
      </c>
      <c r="L22" s="36"/>
      <c r="M22" s="37"/>
      <c r="N22" s="32"/>
      <c r="O22" s="37"/>
      <c r="P22" s="38">
        <v>1</v>
      </c>
      <c r="Q22" s="39" t="s">
        <v>64</v>
      </c>
      <c r="R22" s="40">
        <v>7000</v>
      </c>
      <c r="S22" s="37"/>
      <c r="T22" s="41">
        <f t="shared" si="0"/>
        <v>7000</v>
      </c>
      <c r="U22" s="37"/>
      <c r="V22" s="37"/>
      <c r="W22" s="37"/>
      <c r="X22" s="37"/>
      <c r="Y22" s="37"/>
      <c r="Z22" s="37"/>
      <c r="AA22" s="37"/>
      <c r="AB22" s="42">
        <f t="shared" si="1"/>
        <v>1</v>
      </c>
      <c r="AC22" s="43" t="str">
        <f t="shared" si="2"/>
        <v>台</v>
      </c>
      <c r="AD22" s="41">
        <f t="shared" si="3"/>
        <v>7000</v>
      </c>
      <c r="AE22" s="37">
        <v>0</v>
      </c>
      <c r="AF22" s="41">
        <f t="shared" si="4"/>
        <v>7000</v>
      </c>
      <c r="AG22" s="37" t="s">
        <v>51</v>
      </c>
      <c r="AH22" s="35" t="s">
        <v>44</v>
      </c>
      <c r="AI22" s="32"/>
      <c r="AJ22" s="32"/>
      <c r="AK22" s="44"/>
      <c r="AL22" s="45"/>
      <c r="AM22" s="46"/>
      <c r="AN22" s="47"/>
    </row>
    <row r="23" s="2" customFormat="1" ht="246" spans="1:41">
      <c r="A23" s="31" t="s">
        <v>39</v>
      </c>
      <c r="B23" s="31" t="s">
        <v>40</v>
      </c>
      <c r="C23" s="32" t="s">
        <v>57</v>
      </c>
      <c r="D23" s="33" t="s">
        <v>65</v>
      </c>
      <c r="E23" s="34">
        <v>42885</v>
      </c>
      <c r="F23" s="35" t="s">
        <v>53</v>
      </c>
      <c r="G23" s="35" t="s">
        <v>44</v>
      </c>
      <c r="H23" s="35" t="s">
        <v>45</v>
      </c>
      <c r="I23" s="35" t="s">
        <v>89</v>
      </c>
      <c r="J23" s="36" t="s">
        <v>47</v>
      </c>
      <c r="K23" s="35" t="s">
        <v>48</v>
      </c>
      <c r="L23" s="36"/>
      <c r="M23" s="37"/>
      <c r="N23" s="32"/>
      <c r="O23" s="37"/>
      <c r="P23" s="38">
        <v>1</v>
      </c>
      <c r="Q23" s="39" t="s">
        <v>64</v>
      </c>
      <c r="R23" s="40">
        <v>1700</v>
      </c>
      <c r="S23" s="37"/>
      <c r="T23" s="41">
        <f t="shared" si="0"/>
        <v>1700</v>
      </c>
      <c r="U23" s="37"/>
      <c r="V23" s="37"/>
      <c r="W23" s="37"/>
      <c r="X23" s="37"/>
      <c r="Y23" s="37"/>
      <c r="Z23" s="37"/>
      <c r="AA23" s="37"/>
      <c r="AB23" s="42">
        <f t="shared" si="1"/>
        <v>1</v>
      </c>
      <c r="AC23" s="43" t="str">
        <f t="shared" si="2"/>
        <v>台</v>
      </c>
      <c r="AD23" s="41">
        <f t="shared" si="3"/>
        <v>1700</v>
      </c>
      <c r="AE23" s="37">
        <v>0</v>
      </c>
      <c r="AF23" s="41">
        <f t="shared" si="4"/>
        <v>1700</v>
      </c>
      <c r="AG23" s="37" t="s">
        <v>51</v>
      </c>
      <c r="AH23" s="35" t="s">
        <v>44</v>
      </c>
      <c r="AI23" s="32"/>
      <c r="AJ23" s="32"/>
      <c r="AK23" s="44"/>
      <c r="AL23" s="45"/>
      <c r="AM23" s="46"/>
      <c r="AN23" s="47"/>
    </row>
    <row r="24" s="2" customFormat="1" ht="184.5" spans="1:41">
      <c r="A24" s="31" t="s">
        <v>39</v>
      </c>
      <c r="B24" s="31" t="s">
        <v>40</v>
      </c>
      <c r="C24" s="32" t="s">
        <v>57</v>
      </c>
      <c r="D24" s="33" t="s">
        <v>90</v>
      </c>
      <c r="E24" s="34">
        <v>42277</v>
      </c>
      <c r="F24" s="35" t="s">
        <v>62</v>
      </c>
      <c r="G24" s="35" t="s">
        <v>44</v>
      </c>
      <c r="H24" s="35" t="s">
        <v>45</v>
      </c>
      <c r="I24" s="35" t="s">
        <v>91</v>
      </c>
      <c r="J24" s="36" t="s">
        <v>47</v>
      </c>
      <c r="K24" s="35" t="s">
        <v>48</v>
      </c>
      <c r="L24" s="36"/>
      <c r="M24" s="37"/>
      <c r="N24" s="32"/>
      <c r="O24" s="37"/>
      <c r="P24" s="38">
        <v>1</v>
      </c>
      <c r="Q24" s="39" t="s">
        <v>64</v>
      </c>
      <c r="R24" s="40">
        <v>1000</v>
      </c>
      <c r="S24" s="37"/>
      <c r="T24" s="41">
        <f t="shared" si="0"/>
        <v>1000</v>
      </c>
      <c r="U24" s="37"/>
      <c r="V24" s="37"/>
      <c r="W24" s="37"/>
      <c r="X24" s="37"/>
      <c r="Y24" s="37"/>
      <c r="Z24" s="37"/>
      <c r="AA24" s="37"/>
      <c r="AB24" s="42">
        <f t="shared" si="1"/>
        <v>1</v>
      </c>
      <c r="AC24" s="43" t="str">
        <f t="shared" si="2"/>
        <v>台</v>
      </c>
      <c r="AD24" s="41">
        <f t="shared" si="3"/>
        <v>1000</v>
      </c>
      <c r="AE24" s="37">
        <v>0</v>
      </c>
      <c r="AF24" s="41">
        <f t="shared" si="4"/>
        <v>1000</v>
      </c>
      <c r="AG24" s="37" t="s">
        <v>51</v>
      </c>
      <c r="AH24" s="35" t="s">
        <v>44</v>
      </c>
      <c r="AI24" s="32"/>
      <c r="AJ24" s="32"/>
      <c r="AK24" s="44"/>
      <c r="AL24" s="45"/>
      <c r="AM24" s="46"/>
      <c r="AN24" s="47"/>
    </row>
    <row r="25" s="2" customFormat="1" ht="184.5" spans="1:41">
      <c r="A25" s="31" t="s">
        <v>39</v>
      </c>
      <c r="B25" s="31" t="s">
        <v>40</v>
      </c>
      <c r="C25" s="32" t="s">
        <v>57</v>
      </c>
      <c r="D25" s="33" t="s">
        <v>92</v>
      </c>
      <c r="E25" s="34">
        <v>42581</v>
      </c>
      <c r="F25" s="35" t="s">
        <v>62</v>
      </c>
      <c r="G25" s="35" t="s">
        <v>44</v>
      </c>
      <c r="H25" s="35" t="s">
        <v>45</v>
      </c>
      <c r="I25" s="35" t="s">
        <v>93</v>
      </c>
      <c r="J25" s="36" t="s">
        <v>47</v>
      </c>
      <c r="K25" s="35" t="s">
        <v>48</v>
      </c>
      <c r="L25" s="36"/>
      <c r="M25" s="37"/>
      <c r="N25" s="32"/>
      <c r="O25" s="37"/>
      <c r="P25" s="38">
        <v>1</v>
      </c>
      <c r="Q25" s="39" t="s">
        <v>64</v>
      </c>
      <c r="R25" s="40">
        <v>18000</v>
      </c>
      <c r="S25" s="37"/>
      <c r="T25" s="41">
        <f t="shared" si="0"/>
        <v>18000</v>
      </c>
      <c r="U25" s="37"/>
      <c r="V25" s="37"/>
      <c r="W25" s="37"/>
      <c r="X25" s="37"/>
      <c r="Y25" s="37"/>
      <c r="Z25" s="37"/>
      <c r="AA25" s="37"/>
      <c r="AB25" s="42">
        <f t="shared" si="1"/>
        <v>1</v>
      </c>
      <c r="AC25" s="43" t="str">
        <f t="shared" si="2"/>
        <v>台</v>
      </c>
      <c r="AD25" s="41">
        <f t="shared" si="3"/>
        <v>18000</v>
      </c>
      <c r="AE25" s="37">
        <v>0</v>
      </c>
      <c r="AF25" s="41">
        <f t="shared" si="4"/>
        <v>18000</v>
      </c>
      <c r="AG25" s="37" t="s">
        <v>51</v>
      </c>
      <c r="AH25" s="35" t="s">
        <v>44</v>
      </c>
      <c r="AI25" s="32"/>
      <c r="AJ25" s="32"/>
      <c r="AK25" s="44"/>
      <c r="AL25" s="45"/>
      <c r="AM25" s="46"/>
      <c r="AN25" s="47"/>
    </row>
    <row r="26" s="2" customFormat="1" ht="186" spans="1:41">
      <c r="A26" s="31" t="s">
        <v>39</v>
      </c>
      <c r="B26" s="31" t="s">
        <v>40</v>
      </c>
      <c r="C26" s="32" t="s">
        <v>94</v>
      </c>
      <c r="D26" s="33" t="s">
        <v>95</v>
      </c>
      <c r="E26" s="34">
        <v>42824</v>
      </c>
      <c r="F26" s="35" t="s">
        <v>62</v>
      </c>
      <c r="G26" s="35" t="s">
        <v>44</v>
      </c>
      <c r="H26" s="35" t="s">
        <v>45</v>
      </c>
      <c r="I26" s="35" t="s">
        <v>96</v>
      </c>
      <c r="J26" s="36" t="s">
        <v>47</v>
      </c>
      <c r="K26" s="35" t="s">
        <v>48</v>
      </c>
      <c r="L26" s="36"/>
      <c r="M26" s="37"/>
      <c r="N26" s="32"/>
      <c r="O26" s="37"/>
      <c r="P26" s="38">
        <v>1</v>
      </c>
      <c r="Q26" s="39" t="s">
        <v>64</v>
      </c>
      <c r="R26" s="40">
        <v>2300</v>
      </c>
      <c r="S26" s="37"/>
      <c r="T26" s="41">
        <f t="shared" si="0"/>
        <v>2300</v>
      </c>
      <c r="U26" s="37"/>
      <c r="V26" s="37"/>
      <c r="W26" s="37"/>
      <c r="X26" s="37"/>
      <c r="Y26" s="37"/>
      <c r="Z26" s="37"/>
      <c r="AA26" s="37"/>
      <c r="AB26" s="42">
        <f t="shared" si="1"/>
        <v>1</v>
      </c>
      <c r="AC26" s="43" t="str">
        <f t="shared" si="2"/>
        <v>台</v>
      </c>
      <c r="AD26" s="41">
        <f t="shared" si="3"/>
        <v>2300</v>
      </c>
      <c r="AE26" s="37">
        <v>0</v>
      </c>
      <c r="AF26" s="41">
        <f t="shared" si="4"/>
        <v>2300</v>
      </c>
      <c r="AG26" s="37" t="s">
        <v>51</v>
      </c>
      <c r="AH26" s="35" t="s">
        <v>44</v>
      </c>
      <c r="AI26" s="32"/>
      <c r="AJ26" s="32"/>
      <c r="AK26" s="44"/>
      <c r="AL26" s="45"/>
      <c r="AM26" s="46"/>
      <c r="AN26" s="47"/>
    </row>
    <row r="27" s="2" customFormat="1" ht="246" spans="1:41">
      <c r="A27" s="31" t="s">
        <v>39</v>
      </c>
      <c r="B27" s="31" t="s">
        <v>40</v>
      </c>
      <c r="C27" s="32" t="s">
        <v>41</v>
      </c>
      <c r="D27" s="33" t="s">
        <v>97</v>
      </c>
      <c r="E27" s="34">
        <v>42520</v>
      </c>
      <c r="F27" s="35" t="s">
        <v>53</v>
      </c>
      <c r="G27" s="35" t="s">
        <v>44</v>
      </c>
      <c r="H27" s="35" t="s">
        <v>45</v>
      </c>
      <c r="I27" s="35" t="s">
        <v>98</v>
      </c>
      <c r="J27" s="36" t="s">
        <v>47</v>
      </c>
      <c r="K27" s="35" t="s">
        <v>48</v>
      </c>
      <c r="L27" s="36"/>
      <c r="M27" s="37"/>
      <c r="N27" s="32"/>
      <c r="O27" s="37"/>
      <c r="P27" s="38">
        <v>1</v>
      </c>
      <c r="Q27" s="39" t="s">
        <v>64</v>
      </c>
      <c r="R27" s="40">
        <v>38000</v>
      </c>
      <c r="S27" s="37"/>
      <c r="T27" s="41">
        <f t="shared" si="0"/>
        <v>38000</v>
      </c>
      <c r="U27" s="37"/>
      <c r="V27" s="37"/>
      <c r="W27" s="37"/>
      <c r="X27" s="37"/>
      <c r="Y27" s="37"/>
      <c r="Z27" s="37"/>
      <c r="AA27" s="37"/>
      <c r="AB27" s="42">
        <f t="shared" si="1"/>
        <v>1</v>
      </c>
      <c r="AC27" s="43" t="str">
        <f t="shared" si="2"/>
        <v>台</v>
      </c>
      <c r="AD27" s="41">
        <f t="shared" si="3"/>
        <v>38000</v>
      </c>
      <c r="AE27" s="37">
        <v>0</v>
      </c>
      <c r="AF27" s="41">
        <f t="shared" si="4"/>
        <v>38000</v>
      </c>
      <c r="AG27" s="37" t="s">
        <v>51</v>
      </c>
      <c r="AH27" s="35" t="s">
        <v>44</v>
      </c>
      <c r="AI27" s="32"/>
      <c r="AJ27" s="32"/>
      <c r="AK27" s="44"/>
      <c r="AL27" s="45"/>
      <c r="AM27" s="46"/>
      <c r="AN27" s="47"/>
    </row>
    <row r="28" s="2" customFormat="1" ht="184.5" spans="1:41">
      <c r="A28" s="31" t="s">
        <v>39</v>
      </c>
      <c r="B28" s="31" t="s">
        <v>40</v>
      </c>
      <c r="C28" s="32" t="s">
        <v>57</v>
      </c>
      <c r="D28" s="33" t="s">
        <v>99</v>
      </c>
      <c r="E28" s="34">
        <v>45875</v>
      </c>
      <c r="F28" s="35" t="s">
        <v>62</v>
      </c>
      <c r="G28" s="35" t="s">
        <v>44</v>
      </c>
      <c r="H28" s="35" t="s">
        <v>45</v>
      </c>
      <c r="I28" s="35" t="s">
        <v>100</v>
      </c>
      <c r="J28" s="36" t="s">
        <v>47</v>
      </c>
      <c r="K28" s="35" t="s">
        <v>48</v>
      </c>
      <c r="L28" s="36"/>
      <c r="M28" s="37"/>
      <c r="N28" s="32"/>
      <c r="O28" s="37"/>
      <c r="P28" s="38">
        <v>1</v>
      </c>
      <c r="Q28" s="39" t="s">
        <v>64</v>
      </c>
      <c r="R28" s="40">
        <v>1500</v>
      </c>
      <c r="S28" s="37"/>
      <c r="T28" s="41">
        <f t="shared" si="0"/>
        <v>1500</v>
      </c>
      <c r="U28" s="37"/>
      <c r="V28" s="37"/>
      <c r="W28" s="37"/>
      <c r="X28" s="37"/>
      <c r="Y28" s="37"/>
      <c r="Z28" s="37"/>
      <c r="AA28" s="37"/>
      <c r="AB28" s="42">
        <f t="shared" si="1"/>
        <v>1</v>
      </c>
      <c r="AC28" s="43" t="str">
        <f t="shared" si="2"/>
        <v>台</v>
      </c>
      <c r="AD28" s="41">
        <f t="shared" si="3"/>
        <v>1500</v>
      </c>
      <c r="AE28" s="37">
        <v>0</v>
      </c>
      <c r="AF28" s="41">
        <f t="shared" si="4"/>
        <v>1500</v>
      </c>
      <c r="AG28" s="37" t="s">
        <v>51</v>
      </c>
      <c r="AH28" s="35" t="s">
        <v>44</v>
      </c>
      <c r="AI28" s="32"/>
      <c r="AJ28" s="32"/>
      <c r="AK28" s="44"/>
      <c r="AL28" s="45"/>
      <c r="AM28" s="46"/>
      <c r="AN28" s="47"/>
    </row>
    <row r="29" s="2" customFormat="1" ht="186" spans="1:41">
      <c r="A29" s="31" t="s">
        <v>39</v>
      </c>
      <c r="B29" s="31" t="s">
        <v>40</v>
      </c>
      <c r="C29" s="32" t="s">
        <v>41</v>
      </c>
      <c r="D29" s="33" t="s">
        <v>101</v>
      </c>
      <c r="E29" s="34">
        <v>45999</v>
      </c>
      <c r="F29" s="35" t="s">
        <v>62</v>
      </c>
      <c r="G29" s="35" t="s">
        <v>44</v>
      </c>
      <c r="H29" s="35" t="s">
        <v>45</v>
      </c>
      <c r="I29" s="35" t="s">
        <v>102</v>
      </c>
      <c r="J29" s="36" t="s">
        <v>47</v>
      </c>
      <c r="K29" s="35" t="s">
        <v>48</v>
      </c>
      <c r="L29" s="36"/>
      <c r="M29" s="37"/>
      <c r="N29" s="32"/>
      <c r="O29" s="37"/>
      <c r="P29" s="38">
        <v>1</v>
      </c>
      <c r="Q29" s="39" t="s">
        <v>64</v>
      </c>
      <c r="R29" s="40">
        <v>1300</v>
      </c>
      <c r="S29" s="37"/>
      <c r="T29" s="41">
        <f t="shared" si="0"/>
        <v>1300</v>
      </c>
      <c r="U29" s="37"/>
      <c r="V29" s="37"/>
      <c r="W29" s="37"/>
      <c r="X29" s="37"/>
      <c r="Y29" s="37"/>
      <c r="Z29" s="37"/>
      <c r="AA29" s="37"/>
      <c r="AB29" s="42">
        <f t="shared" si="1"/>
        <v>1</v>
      </c>
      <c r="AC29" s="43" t="str">
        <f t="shared" si="2"/>
        <v>台</v>
      </c>
      <c r="AD29" s="41">
        <f t="shared" si="3"/>
        <v>1300</v>
      </c>
      <c r="AE29" s="37">
        <v>0</v>
      </c>
      <c r="AF29" s="41">
        <f t="shared" si="4"/>
        <v>1300</v>
      </c>
      <c r="AG29" s="37" t="s">
        <v>51</v>
      </c>
      <c r="AH29" s="35" t="s">
        <v>44</v>
      </c>
      <c r="AI29" s="32"/>
      <c r="AJ29" s="32"/>
      <c r="AK29" s="44"/>
      <c r="AL29" s="45"/>
      <c r="AM29" s="46"/>
      <c r="AN29" s="47"/>
    </row>
    <row r="30" s="2" customFormat="1" ht="246" spans="1:41">
      <c r="A30" s="31" t="s">
        <v>39</v>
      </c>
      <c r="B30" s="31" t="s">
        <v>40</v>
      </c>
      <c r="C30" s="32" t="s">
        <v>84</v>
      </c>
      <c r="D30" s="33" t="s">
        <v>103</v>
      </c>
      <c r="E30" s="34">
        <v>45969</v>
      </c>
      <c r="F30" s="35" t="s">
        <v>53</v>
      </c>
      <c r="G30" s="35" t="s">
        <v>44</v>
      </c>
      <c r="H30" s="35" t="s">
        <v>45</v>
      </c>
      <c r="I30" s="35" t="s">
        <v>104</v>
      </c>
      <c r="J30" s="36" t="s">
        <v>47</v>
      </c>
      <c r="K30" s="35" t="s">
        <v>48</v>
      </c>
      <c r="L30" s="36"/>
      <c r="M30" s="37"/>
      <c r="N30" s="32"/>
      <c r="O30" s="37"/>
      <c r="P30" s="38">
        <v>1</v>
      </c>
      <c r="Q30" s="39" t="s">
        <v>64</v>
      </c>
      <c r="R30" s="40">
        <v>5800</v>
      </c>
      <c r="S30" s="37"/>
      <c r="T30" s="41">
        <f t="shared" si="0"/>
        <v>5800</v>
      </c>
      <c r="U30" s="37"/>
      <c r="V30" s="37"/>
      <c r="W30" s="37"/>
      <c r="X30" s="37"/>
      <c r="Y30" s="37"/>
      <c r="Z30" s="37"/>
      <c r="AA30" s="37"/>
      <c r="AB30" s="42">
        <f t="shared" si="1"/>
        <v>1</v>
      </c>
      <c r="AC30" s="43" t="str">
        <f t="shared" si="2"/>
        <v>台</v>
      </c>
      <c r="AD30" s="41">
        <f t="shared" si="3"/>
        <v>5800</v>
      </c>
      <c r="AE30" s="37">
        <v>0</v>
      </c>
      <c r="AF30" s="41">
        <f t="shared" si="4"/>
        <v>5800</v>
      </c>
      <c r="AG30" s="37" t="s">
        <v>51</v>
      </c>
      <c r="AH30" s="35" t="s">
        <v>44</v>
      </c>
      <c r="AI30" s="32"/>
      <c r="AJ30" s="32"/>
      <c r="AK30" s="44"/>
      <c r="AL30" s="45"/>
      <c r="AM30" s="46"/>
      <c r="AN30" s="47"/>
    </row>
    <row r="31" s="2" customFormat="1" ht="184.5" spans="1:41">
      <c r="A31" s="31" t="s">
        <v>39</v>
      </c>
      <c r="B31" s="31" t="s">
        <v>40</v>
      </c>
      <c r="C31" s="32" t="s">
        <v>57</v>
      </c>
      <c r="D31" s="33" t="s">
        <v>105</v>
      </c>
      <c r="E31" s="34">
        <v>44913</v>
      </c>
      <c r="F31" s="35" t="s">
        <v>62</v>
      </c>
      <c r="G31" s="35" t="s">
        <v>44</v>
      </c>
      <c r="H31" s="35" t="s">
        <v>45</v>
      </c>
      <c r="I31" s="35" t="s">
        <v>106</v>
      </c>
      <c r="J31" s="36" t="s">
        <v>47</v>
      </c>
      <c r="K31" s="35" t="s">
        <v>48</v>
      </c>
      <c r="L31" s="36"/>
      <c r="M31" s="37"/>
      <c r="N31" s="32"/>
      <c r="O31" s="37"/>
      <c r="P31" s="38">
        <v>1</v>
      </c>
      <c r="Q31" s="39" t="s">
        <v>107</v>
      </c>
      <c r="R31" s="40">
        <v>900</v>
      </c>
      <c r="S31" s="37"/>
      <c r="T31" s="41">
        <f t="shared" si="0"/>
        <v>900</v>
      </c>
      <c r="U31" s="37"/>
      <c r="V31" s="37"/>
      <c r="W31" s="37"/>
      <c r="X31" s="37"/>
      <c r="Y31" s="37"/>
      <c r="Z31" s="37"/>
      <c r="AA31" s="37"/>
      <c r="AB31" s="42">
        <f t="shared" si="1"/>
        <v>1</v>
      </c>
      <c r="AC31" s="43" t="str">
        <f t="shared" si="2"/>
        <v>个</v>
      </c>
      <c r="AD31" s="41">
        <f t="shared" si="3"/>
        <v>900</v>
      </c>
      <c r="AE31" s="37">
        <v>0</v>
      </c>
      <c r="AF31" s="41">
        <f t="shared" si="4"/>
        <v>900</v>
      </c>
      <c r="AG31" s="37" t="s">
        <v>51</v>
      </c>
      <c r="AH31" s="35" t="s">
        <v>44</v>
      </c>
      <c r="AI31" s="32"/>
      <c r="AJ31" s="32"/>
      <c r="AK31" s="44"/>
      <c r="AL31" s="45"/>
      <c r="AM31" s="46"/>
      <c r="AN31" s="47"/>
    </row>
    <row r="32" s="2" customFormat="1" ht="186" spans="1:41">
      <c r="A32" s="31" t="s">
        <v>39</v>
      </c>
      <c r="B32" s="31" t="s">
        <v>40</v>
      </c>
      <c r="C32" s="32" t="s">
        <v>73</v>
      </c>
      <c r="D32" s="33" t="s">
        <v>55</v>
      </c>
      <c r="E32" s="34">
        <v>44115</v>
      </c>
      <c r="F32" s="35" t="s">
        <v>62</v>
      </c>
      <c r="G32" s="35" t="s">
        <v>44</v>
      </c>
      <c r="H32" s="35" t="s">
        <v>45</v>
      </c>
      <c r="I32" s="35" t="s">
        <v>46</v>
      </c>
      <c r="J32" s="36" t="s">
        <v>47</v>
      </c>
      <c r="K32" s="35" t="s">
        <v>48</v>
      </c>
      <c r="L32" s="36"/>
      <c r="M32" s="37"/>
      <c r="N32" s="32"/>
      <c r="O32" s="37"/>
      <c r="P32" s="38">
        <v>1</v>
      </c>
      <c r="Q32" s="39" t="s">
        <v>108</v>
      </c>
      <c r="R32" s="40">
        <v>478400</v>
      </c>
      <c r="S32" s="37"/>
      <c r="T32" s="41">
        <f t="shared" si="0"/>
        <v>478400</v>
      </c>
      <c r="U32" s="37"/>
      <c r="V32" s="37"/>
      <c r="W32" s="37"/>
      <c r="X32" s="37"/>
      <c r="Y32" s="37"/>
      <c r="Z32" s="37"/>
      <c r="AA32" s="37"/>
      <c r="AB32" s="42">
        <f t="shared" si="1"/>
        <v>1</v>
      </c>
      <c r="AC32" s="43" t="str">
        <f t="shared" si="2"/>
        <v>座</v>
      </c>
      <c r="AD32" s="41">
        <f t="shared" si="3"/>
        <v>478400</v>
      </c>
      <c r="AE32" s="37">
        <v>0</v>
      </c>
      <c r="AF32" s="41">
        <f t="shared" si="4"/>
        <v>478400</v>
      </c>
      <c r="AG32" s="37" t="s">
        <v>51</v>
      </c>
      <c r="AH32" s="35" t="s">
        <v>44</v>
      </c>
      <c r="AI32" s="32"/>
      <c r="AJ32" s="32"/>
      <c r="AK32" s="44"/>
      <c r="AL32" s="45"/>
      <c r="AM32" s="46"/>
      <c r="AN32" s="47"/>
    </row>
    <row r="33" s="2" customFormat="1" ht="186" spans="1:40">
      <c r="A33" s="31" t="s">
        <v>39</v>
      </c>
      <c r="B33" s="31" t="s">
        <v>40</v>
      </c>
      <c r="C33" s="32" t="s">
        <v>84</v>
      </c>
      <c r="D33" s="33" t="s">
        <v>109</v>
      </c>
      <c r="E33" s="34">
        <v>45291</v>
      </c>
      <c r="F33" s="35" t="s">
        <v>62</v>
      </c>
      <c r="G33" s="35" t="s">
        <v>44</v>
      </c>
      <c r="H33" s="35" t="s">
        <v>45</v>
      </c>
      <c r="I33" s="35" t="s">
        <v>110</v>
      </c>
      <c r="J33" s="36" t="s">
        <v>47</v>
      </c>
      <c r="K33" s="35" t="s">
        <v>48</v>
      </c>
      <c r="L33" s="36"/>
      <c r="M33" s="37"/>
      <c r="N33" s="32"/>
      <c r="O33" s="37"/>
      <c r="P33" s="38">
        <v>1</v>
      </c>
      <c r="Q33" s="39" t="s">
        <v>76</v>
      </c>
      <c r="R33" s="40">
        <v>300</v>
      </c>
      <c r="S33" s="37"/>
      <c r="T33" s="41">
        <f t="shared" si="0"/>
        <v>300</v>
      </c>
      <c r="U33" s="37"/>
      <c r="V33" s="37"/>
      <c r="W33" s="37"/>
      <c r="X33" s="37"/>
      <c r="Y33" s="37"/>
      <c r="Z33" s="37"/>
      <c r="AA33" s="37"/>
      <c r="AB33" s="42">
        <f t="shared" si="1"/>
        <v>1</v>
      </c>
      <c r="AC33" s="43" t="str">
        <f t="shared" si="2"/>
        <v>张</v>
      </c>
      <c r="AD33" s="41">
        <f t="shared" si="3"/>
        <v>300</v>
      </c>
      <c r="AE33" s="37">
        <v>0</v>
      </c>
      <c r="AF33" s="41">
        <f t="shared" si="4"/>
        <v>300</v>
      </c>
      <c r="AG33" s="37" t="s">
        <v>51</v>
      </c>
      <c r="AH33" s="35" t="s">
        <v>44</v>
      </c>
      <c r="AI33" s="32"/>
      <c r="AJ33" s="32"/>
      <c r="AK33" s="44"/>
      <c r="AL33" s="45"/>
      <c r="AM33" s="46"/>
      <c r="AN33" s="47"/>
    </row>
    <row r="34" s="2" customFormat="1" ht="246" spans="1:40">
      <c r="A34" s="31" t="s">
        <v>39</v>
      </c>
      <c r="B34" s="31" t="s">
        <v>40</v>
      </c>
      <c r="C34" s="32" t="s">
        <v>57</v>
      </c>
      <c r="D34" s="33" t="s">
        <v>111</v>
      </c>
      <c r="E34" s="34">
        <v>45291</v>
      </c>
      <c r="F34" s="35" t="s">
        <v>53</v>
      </c>
      <c r="G34" s="35" t="s">
        <v>44</v>
      </c>
      <c r="H34" s="35" t="s">
        <v>45</v>
      </c>
      <c r="I34" s="35" t="s">
        <v>112</v>
      </c>
      <c r="J34" s="36" t="s">
        <v>47</v>
      </c>
      <c r="K34" s="35" t="s">
        <v>48</v>
      </c>
      <c r="L34" s="36"/>
      <c r="M34" s="37"/>
      <c r="N34" s="32"/>
      <c r="O34" s="37"/>
      <c r="P34" s="38">
        <v>2</v>
      </c>
      <c r="Q34" s="39" t="s">
        <v>107</v>
      </c>
      <c r="R34" s="40">
        <v>700</v>
      </c>
      <c r="S34" s="37"/>
      <c r="T34" s="41">
        <f t="shared" si="0"/>
        <v>700</v>
      </c>
      <c r="U34" s="37"/>
      <c r="V34" s="43"/>
      <c r="W34" s="37"/>
      <c r="X34" s="37"/>
      <c r="Y34" s="37"/>
      <c r="Z34" s="37"/>
      <c r="AA34" s="37"/>
      <c r="AB34" s="42">
        <f t="shared" si="1"/>
        <v>2</v>
      </c>
      <c r="AC34" s="43" t="str">
        <f t="shared" si="2"/>
        <v>个</v>
      </c>
      <c r="AD34" s="41">
        <f t="shared" si="3"/>
        <v>700</v>
      </c>
      <c r="AE34" s="37">
        <v>0</v>
      </c>
      <c r="AF34" s="41">
        <f t="shared" si="4"/>
        <v>700</v>
      </c>
      <c r="AG34" s="37" t="s">
        <v>51</v>
      </c>
      <c r="AH34" s="35" t="s">
        <v>44</v>
      </c>
      <c r="AI34" s="32"/>
      <c r="AJ34" s="32"/>
      <c r="AK34" s="44"/>
      <c r="AL34" s="45"/>
      <c r="AM34" s="46"/>
      <c r="AN34" s="47"/>
    </row>
    <row r="35" s="2" customFormat="1" ht="186" spans="1:40">
      <c r="A35" s="31" t="s">
        <v>39</v>
      </c>
      <c r="B35" s="31" t="s">
        <v>40</v>
      </c>
      <c r="C35" s="32" t="s">
        <v>73</v>
      </c>
      <c r="D35" s="33" t="s">
        <v>113</v>
      </c>
      <c r="E35" s="34">
        <v>45291</v>
      </c>
      <c r="F35" s="35" t="s">
        <v>62</v>
      </c>
      <c r="G35" s="35" t="s">
        <v>44</v>
      </c>
      <c r="H35" s="35" t="s">
        <v>45</v>
      </c>
      <c r="I35" s="35" t="s">
        <v>114</v>
      </c>
      <c r="J35" s="36" t="s">
        <v>47</v>
      </c>
      <c r="K35" s="35" t="s">
        <v>48</v>
      </c>
      <c r="L35" s="36"/>
      <c r="M35" s="37"/>
      <c r="N35" s="32"/>
      <c r="O35" s="37"/>
      <c r="P35" s="38">
        <v>1</v>
      </c>
      <c r="Q35" s="39" t="s">
        <v>76</v>
      </c>
      <c r="R35" s="40">
        <v>2000</v>
      </c>
      <c r="S35" s="37"/>
      <c r="T35" s="41">
        <f t="shared" si="0"/>
        <v>2000</v>
      </c>
      <c r="U35" s="37"/>
      <c r="V35" s="37"/>
      <c r="W35" s="37"/>
      <c r="X35" s="37"/>
      <c r="Y35" s="37"/>
      <c r="Z35" s="37"/>
      <c r="AA35" s="37"/>
      <c r="AB35" s="42">
        <f t="shared" si="1"/>
        <v>1</v>
      </c>
      <c r="AC35" s="43" t="str">
        <f t="shared" si="2"/>
        <v>张</v>
      </c>
      <c r="AD35" s="41">
        <f t="shared" si="3"/>
        <v>2000</v>
      </c>
      <c r="AE35" s="37">
        <v>0</v>
      </c>
      <c r="AF35" s="41">
        <f t="shared" si="4"/>
        <v>2000</v>
      </c>
      <c r="AG35" s="37" t="s">
        <v>51</v>
      </c>
      <c r="AH35" s="35" t="s">
        <v>44</v>
      </c>
      <c r="AI35" s="32"/>
      <c r="AJ35" s="32"/>
      <c r="AK35" s="44"/>
      <c r="AL35" s="45"/>
      <c r="AM35" s="46"/>
      <c r="AN35" s="47"/>
    </row>
    <row r="36" s="2" customFormat="1" ht="186" spans="1:40">
      <c r="A36" s="31" t="s">
        <v>39</v>
      </c>
      <c r="B36" s="31" t="s">
        <v>40</v>
      </c>
      <c r="C36" s="32" t="s">
        <v>73</v>
      </c>
      <c r="D36" s="33" t="s">
        <v>115</v>
      </c>
      <c r="E36" s="34">
        <v>45291</v>
      </c>
      <c r="F36" s="35" t="s">
        <v>62</v>
      </c>
      <c r="G36" s="35" t="s">
        <v>44</v>
      </c>
      <c r="H36" s="35" t="s">
        <v>45</v>
      </c>
      <c r="I36" s="35" t="s">
        <v>116</v>
      </c>
      <c r="J36" s="36" t="s">
        <v>47</v>
      </c>
      <c r="K36" s="35" t="s">
        <v>48</v>
      </c>
      <c r="L36" s="36"/>
      <c r="M36" s="37"/>
      <c r="N36" s="32"/>
      <c r="O36" s="37"/>
      <c r="P36" s="38">
        <v>13</v>
      </c>
      <c r="Q36" s="39" t="s">
        <v>107</v>
      </c>
      <c r="R36" s="40">
        <v>1560</v>
      </c>
      <c r="S36" s="37"/>
      <c r="T36" s="41">
        <f t="shared" si="0"/>
        <v>1560</v>
      </c>
      <c r="U36" s="37"/>
      <c r="V36" s="37"/>
      <c r="W36" s="37"/>
      <c r="X36" s="37"/>
      <c r="Y36" s="37"/>
      <c r="Z36" s="37"/>
      <c r="AA36" s="37"/>
      <c r="AB36" s="42">
        <f t="shared" si="1"/>
        <v>13</v>
      </c>
      <c r="AC36" s="43" t="str">
        <f t="shared" si="2"/>
        <v>个</v>
      </c>
      <c r="AD36" s="41">
        <f t="shared" si="3"/>
        <v>1560</v>
      </c>
      <c r="AE36" s="37">
        <v>0</v>
      </c>
      <c r="AF36" s="41">
        <f t="shared" si="4"/>
        <v>1560</v>
      </c>
      <c r="AG36" s="37" t="s">
        <v>51</v>
      </c>
      <c r="AH36" s="35" t="s">
        <v>44</v>
      </c>
      <c r="AI36" s="32"/>
      <c r="AJ36" s="32"/>
      <c r="AK36" s="44"/>
      <c r="AL36" s="45"/>
      <c r="AM36" s="46"/>
      <c r="AN36" s="47"/>
    </row>
    <row r="37" s="2" customFormat="1" ht="186" spans="1:40">
      <c r="A37" s="31" t="s">
        <v>39</v>
      </c>
      <c r="B37" s="31" t="s">
        <v>40</v>
      </c>
      <c r="C37" s="32" t="s">
        <v>73</v>
      </c>
      <c r="D37" s="33" t="s">
        <v>117</v>
      </c>
      <c r="E37" s="34">
        <v>45291</v>
      </c>
      <c r="F37" s="35" t="s">
        <v>62</v>
      </c>
      <c r="G37" s="35" t="s">
        <v>44</v>
      </c>
      <c r="H37" s="35" t="s">
        <v>45</v>
      </c>
      <c r="I37" s="35" t="s">
        <v>118</v>
      </c>
      <c r="J37" s="36" t="s">
        <v>47</v>
      </c>
      <c r="K37" s="35" t="s">
        <v>48</v>
      </c>
      <c r="L37" s="36"/>
      <c r="M37" s="37"/>
      <c r="N37" s="32"/>
      <c r="O37" s="37"/>
      <c r="P37" s="38">
        <v>14</v>
      </c>
      <c r="Q37" s="39" t="s">
        <v>107</v>
      </c>
      <c r="R37" s="40">
        <v>4200</v>
      </c>
      <c r="S37" s="37"/>
      <c r="T37" s="41">
        <f t="shared" si="0"/>
        <v>4200</v>
      </c>
      <c r="U37" s="37"/>
      <c r="V37" s="37"/>
      <c r="W37" s="37"/>
      <c r="X37" s="37"/>
      <c r="Y37" s="37"/>
      <c r="Z37" s="37"/>
      <c r="AA37" s="37"/>
      <c r="AB37" s="42">
        <f t="shared" si="1"/>
        <v>14</v>
      </c>
      <c r="AC37" s="43" t="str">
        <f t="shared" si="2"/>
        <v>个</v>
      </c>
      <c r="AD37" s="41">
        <f t="shared" si="3"/>
        <v>4200</v>
      </c>
      <c r="AE37" s="37">
        <v>0</v>
      </c>
      <c r="AF37" s="41">
        <f t="shared" si="4"/>
        <v>4200</v>
      </c>
      <c r="AG37" s="37" t="s">
        <v>51</v>
      </c>
      <c r="AH37" s="35" t="s">
        <v>44</v>
      </c>
      <c r="AI37" s="32"/>
      <c r="AJ37" s="32"/>
      <c r="AK37" s="44"/>
      <c r="AL37" s="45"/>
      <c r="AM37" s="46"/>
      <c r="AN37" s="47"/>
    </row>
    <row r="38" s="2" customFormat="1" ht="184.5" spans="1:40">
      <c r="A38" s="31" t="s">
        <v>39</v>
      </c>
      <c r="B38" s="31" t="s">
        <v>40</v>
      </c>
      <c r="C38" s="32" t="s">
        <v>57</v>
      </c>
      <c r="D38" s="33" t="s">
        <v>119</v>
      </c>
      <c r="E38" s="34">
        <v>45291</v>
      </c>
      <c r="F38" s="35" t="s">
        <v>62</v>
      </c>
      <c r="G38" s="35" t="s">
        <v>44</v>
      </c>
      <c r="H38" s="35" t="s">
        <v>45</v>
      </c>
      <c r="I38" s="35" t="s">
        <v>120</v>
      </c>
      <c r="J38" s="36" t="s">
        <v>47</v>
      </c>
      <c r="K38" s="35" t="s">
        <v>48</v>
      </c>
      <c r="L38" s="36"/>
      <c r="M38" s="37"/>
      <c r="N38" s="32"/>
      <c r="O38" s="37"/>
      <c r="P38" s="38">
        <v>2</v>
      </c>
      <c r="Q38" s="39" t="s">
        <v>107</v>
      </c>
      <c r="R38" s="40">
        <v>600</v>
      </c>
      <c r="S38" s="37"/>
      <c r="T38" s="41">
        <f t="shared" si="0"/>
        <v>600</v>
      </c>
      <c r="U38" s="37"/>
      <c r="V38" s="37"/>
      <c r="W38" s="37"/>
      <c r="X38" s="37"/>
      <c r="Y38" s="37"/>
      <c r="Z38" s="37"/>
      <c r="AA38" s="37"/>
      <c r="AB38" s="42">
        <f t="shared" si="1"/>
        <v>2</v>
      </c>
      <c r="AC38" s="43" t="str">
        <f t="shared" si="2"/>
        <v>个</v>
      </c>
      <c r="AD38" s="41">
        <f t="shared" si="3"/>
        <v>600</v>
      </c>
      <c r="AE38" s="37">
        <v>0</v>
      </c>
      <c r="AF38" s="41">
        <f t="shared" si="4"/>
        <v>600</v>
      </c>
      <c r="AG38" s="37" t="s">
        <v>51</v>
      </c>
      <c r="AH38" s="35" t="s">
        <v>44</v>
      </c>
      <c r="AI38" s="32"/>
      <c r="AJ38" s="32"/>
      <c r="AK38" s="44"/>
      <c r="AL38" s="45"/>
      <c r="AM38" s="46"/>
      <c r="AN38" s="47"/>
    </row>
    <row r="39" s="2" customFormat="1" ht="184.5" spans="1:40">
      <c r="A39" s="31" t="s">
        <v>39</v>
      </c>
      <c r="B39" s="31" t="s">
        <v>40</v>
      </c>
      <c r="C39" s="32" t="s">
        <v>57</v>
      </c>
      <c r="D39" s="33" t="s">
        <v>121</v>
      </c>
      <c r="E39" s="34">
        <v>45291</v>
      </c>
      <c r="F39" s="35" t="s">
        <v>62</v>
      </c>
      <c r="G39" s="35" t="s">
        <v>44</v>
      </c>
      <c r="H39" s="35" t="s">
        <v>45</v>
      </c>
      <c r="I39" s="35" t="s">
        <v>122</v>
      </c>
      <c r="J39" s="36" t="s">
        <v>47</v>
      </c>
      <c r="K39" s="35" t="s">
        <v>48</v>
      </c>
      <c r="L39" s="36"/>
      <c r="M39" s="37"/>
      <c r="N39" s="32"/>
      <c r="O39" s="37"/>
      <c r="P39" s="38">
        <v>2</v>
      </c>
      <c r="Q39" s="39" t="s">
        <v>64</v>
      </c>
      <c r="R39" s="40">
        <v>3000</v>
      </c>
      <c r="S39" s="37"/>
      <c r="T39" s="41">
        <f t="shared" si="0"/>
        <v>3000</v>
      </c>
      <c r="U39" s="37"/>
      <c r="V39" s="2"/>
      <c r="W39" s="37"/>
      <c r="X39" s="37"/>
      <c r="Y39" s="37"/>
      <c r="Z39" s="37"/>
      <c r="AA39" s="37"/>
      <c r="AB39" s="42">
        <f t="shared" si="1"/>
        <v>2</v>
      </c>
      <c r="AC39" s="43" t="str">
        <f t="shared" si="2"/>
        <v>台</v>
      </c>
      <c r="AD39" s="41">
        <f t="shared" si="3"/>
        <v>3000</v>
      </c>
      <c r="AE39" s="37">
        <v>0</v>
      </c>
      <c r="AF39" s="41">
        <f t="shared" si="4"/>
        <v>3000</v>
      </c>
      <c r="AG39" s="37" t="s">
        <v>51</v>
      </c>
      <c r="AH39" s="35" t="s">
        <v>44</v>
      </c>
      <c r="AI39" s="32"/>
      <c r="AJ39" s="32"/>
      <c r="AK39" s="44"/>
      <c r="AL39" s="45"/>
      <c r="AM39" s="46"/>
      <c r="AN39" s="47"/>
    </row>
    <row r="40" s="2" customFormat="1" ht="186" spans="1:40">
      <c r="A40" s="31" t="s">
        <v>39</v>
      </c>
      <c r="B40" s="31" t="s">
        <v>40</v>
      </c>
      <c r="C40" s="32" t="s">
        <v>73</v>
      </c>
      <c r="D40" s="33" t="s">
        <v>123</v>
      </c>
      <c r="E40" s="34">
        <v>45657</v>
      </c>
      <c r="F40" s="35" t="s">
        <v>62</v>
      </c>
      <c r="G40" s="35" t="s">
        <v>44</v>
      </c>
      <c r="H40" s="35" t="s">
        <v>45</v>
      </c>
      <c r="I40" s="35" t="s">
        <v>124</v>
      </c>
      <c r="J40" s="36" t="s">
        <v>47</v>
      </c>
      <c r="K40" s="35" t="s">
        <v>48</v>
      </c>
      <c r="L40" s="36"/>
      <c r="M40" s="37"/>
      <c r="N40" s="32"/>
      <c r="O40" s="37"/>
      <c r="P40" s="38">
        <v>1</v>
      </c>
      <c r="Q40" s="39" t="s">
        <v>64</v>
      </c>
      <c r="R40" s="40">
        <v>3100</v>
      </c>
      <c r="S40" s="37"/>
      <c r="T40" s="41">
        <f t="shared" ref="T40:T63" si="5">R40</f>
        <v>3100</v>
      </c>
      <c r="U40" s="37"/>
      <c r="V40" s="37"/>
      <c r="W40" s="37"/>
      <c r="X40" s="37"/>
      <c r="Y40" s="37"/>
      <c r="Z40" s="37"/>
      <c r="AA40" s="37"/>
      <c r="AB40" s="42">
        <f t="shared" ref="AB40:AB66" si="6">P40</f>
        <v>1</v>
      </c>
      <c r="AC40" s="43" t="str">
        <f t="shared" ref="AC40:AC63" si="7">Q40</f>
        <v>台</v>
      </c>
      <c r="AD40" s="41">
        <f t="shared" ref="AD40:AD63" si="8">R40</f>
        <v>3100</v>
      </c>
      <c r="AE40" s="37">
        <v>0</v>
      </c>
      <c r="AF40" s="41">
        <f t="shared" ref="AF40:AF63" si="9">R40</f>
        <v>3100</v>
      </c>
      <c r="AG40" s="37" t="s">
        <v>51</v>
      </c>
      <c r="AH40" s="35" t="s">
        <v>44</v>
      </c>
      <c r="AI40" s="32"/>
      <c r="AJ40" s="32"/>
      <c r="AK40" s="44"/>
      <c r="AL40" s="45"/>
      <c r="AM40" s="46"/>
      <c r="AN40" s="47"/>
    </row>
    <row r="41" s="2" customFormat="1" ht="186" spans="1:40">
      <c r="A41" s="31" t="s">
        <v>39</v>
      </c>
      <c r="B41" s="31" t="s">
        <v>40</v>
      </c>
      <c r="C41" s="32" t="s">
        <v>73</v>
      </c>
      <c r="D41" s="33" t="s">
        <v>125</v>
      </c>
      <c r="E41" s="34">
        <v>45657</v>
      </c>
      <c r="F41" s="35" t="s">
        <v>62</v>
      </c>
      <c r="G41" s="35" t="s">
        <v>44</v>
      </c>
      <c r="H41" s="35" t="s">
        <v>45</v>
      </c>
      <c r="I41" s="35" t="s">
        <v>126</v>
      </c>
      <c r="J41" s="36" t="s">
        <v>47</v>
      </c>
      <c r="K41" s="35" t="s">
        <v>48</v>
      </c>
      <c r="L41" s="36"/>
      <c r="M41" s="37"/>
      <c r="N41" s="32"/>
      <c r="O41" s="37"/>
      <c r="P41" s="38">
        <v>1</v>
      </c>
      <c r="Q41" s="39" t="s">
        <v>64</v>
      </c>
      <c r="R41" s="40">
        <v>1500</v>
      </c>
      <c r="S41" s="37"/>
      <c r="T41" s="41">
        <f t="shared" si="5"/>
        <v>1500</v>
      </c>
      <c r="U41" s="37"/>
      <c r="V41" s="37"/>
      <c r="W41" s="37"/>
      <c r="X41" s="37"/>
      <c r="Y41" s="37"/>
      <c r="Z41" s="37"/>
      <c r="AA41" s="37"/>
      <c r="AB41" s="42">
        <f t="shared" si="6"/>
        <v>1</v>
      </c>
      <c r="AC41" s="43" t="str">
        <f t="shared" si="7"/>
        <v>台</v>
      </c>
      <c r="AD41" s="41">
        <f t="shared" si="8"/>
        <v>1500</v>
      </c>
      <c r="AE41" s="37">
        <v>0</v>
      </c>
      <c r="AF41" s="41">
        <f t="shared" si="9"/>
        <v>1500</v>
      </c>
      <c r="AG41" s="37" t="s">
        <v>51</v>
      </c>
      <c r="AH41" s="35" t="s">
        <v>44</v>
      </c>
      <c r="AI41" s="32"/>
      <c r="AJ41" s="32"/>
      <c r="AK41" s="44"/>
      <c r="AL41" s="45"/>
      <c r="AM41" s="46"/>
      <c r="AN41" s="47"/>
    </row>
    <row r="42" s="2" customFormat="1" ht="186" spans="1:40">
      <c r="A42" s="31" t="s">
        <v>39</v>
      </c>
      <c r="B42" s="31" t="s">
        <v>40</v>
      </c>
      <c r="C42" s="32" t="s">
        <v>73</v>
      </c>
      <c r="D42" s="33" t="s">
        <v>127</v>
      </c>
      <c r="E42" s="34">
        <v>45657</v>
      </c>
      <c r="F42" s="35" t="s">
        <v>62</v>
      </c>
      <c r="G42" s="35" t="s">
        <v>44</v>
      </c>
      <c r="H42" s="35" t="s">
        <v>45</v>
      </c>
      <c r="I42" s="35" t="s">
        <v>128</v>
      </c>
      <c r="J42" s="36" t="s">
        <v>47</v>
      </c>
      <c r="K42" s="35" t="s">
        <v>48</v>
      </c>
      <c r="L42" s="36"/>
      <c r="M42" s="37"/>
      <c r="N42" s="32"/>
      <c r="O42" s="37"/>
      <c r="P42" s="38">
        <v>2</v>
      </c>
      <c r="Q42" s="39" t="s">
        <v>129</v>
      </c>
      <c r="R42" s="40">
        <v>1500</v>
      </c>
      <c r="S42" s="37"/>
      <c r="T42" s="41">
        <f t="shared" si="5"/>
        <v>1500</v>
      </c>
      <c r="U42" s="37"/>
      <c r="V42" s="37"/>
      <c r="W42" s="37"/>
      <c r="X42" s="37"/>
      <c r="Y42" s="37"/>
      <c r="Z42" s="37"/>
      <c r="AA42" s="37"/>
      <c r="AB42" s="42">
        <f t="shared" si="6"/>
        <v>2</v>
      </c>
      <c r="AC42" s="43" t="str">
        <f t="shared" si="7"/>
        <v>把</v>
      </c>
      <c r="AD42" s="41">
        <f t="shared" si="8"/>
        <v>1500</v>
      </c>
      <c r="AE42" s="37">
        <v>0</v>
      </c>
      <c r="AF42" s="41">
        <f t="shared" si="9"/>
        <v>1500</v>
      </c>
      <c r="AG42" s="37" t="s">
        <v>51</v>
      </c>
      <c r="AH42" s="35" t="s">
        <v>44</v>
      </c>
      <c r="AI42" s="32"/>
      <c r="AJ42" s="32"/>
      <c r="AK42" s="44"/>
      <c r="AL42" s="45"/>
      <c r="AM42" s="46"/>
      <c r="AN42" s="47"/>
    </row>
    <row r="43" s="2" customFormat="1" ht="186" spans="1:40">
      <c r="A43" s="31" t="s">
        <v>39</v>
      </c>
      <c r="B43" s="31" t="s">
        <v>40</v>
      </c>
      <c r="C43" s="32" t="s">
        <v>73</v>
      </c>
      <c r="D43" s="33" t="s">
        <v>130</v>
      </c>
      <c r="E43" s="34">
        <v>45657</v>
      </c>
      <c r="F43" s="35" t="s">
        <v>62</v>
      </c>
      <c r="G43" s="35" t="s">
        <v>44</v>
      </c>
      <c r="H43" s="35" t="s">
        <v>45</v>
      </c>
      <c r="I43" s="35" t="s">
        <v>131</v>
      </c>
      <c r="J43" s="36" t="s">
        <v>47</v>
      </c>
      <c r="K43" s="35" t="s">
        <v>48</v>
      </c>
      <c r="L43" s="36"/>
      <c r="M43" s="37"/>
      <c r="N43" s="32"/>
      <c r="O43" s="37"/>
      <c r="P43" s="38">
        <v>7</v>
      </c>
      <c r="Q43" s="39" t="s">
        <v>107</v>
      </c>
      <c r="R43" s="40">
        <v>1400</v>
      </c>
      <c r="S43" s="37"/>
      <c r="T43" s="41">
        <f t="shared" si="5"/>
        <v>1400</v>
      </c>
      <c r="U43" s="37"/>
      <c r="V43" s="37"/>
      <c r="W43" s="37"/>
      <c r="X43" s="37"/>
      <c r="Y43" s="37"/>
      <c r="Z43" s="37"/>
      <c r="AA43" s="37"/>
      <c r="AB43" s="42">
        <f t="shared" si="6"/>
        <v>7</v>
      </c>
      <c r="AC43" s="43" t="str">
        <f t="shared" si="7"/>
        <v>个</v>
      </c>
      <c r="AD43" s="41">
        <f t="shared" si="8"/>
        <v>1400</v>
      </c>
      <c r="AE43" s="37">
        <v>0</v>
      </c>
      <c r="AF43" s="41">
        <f t="shared" si="9"/>
        <v>1400</v>
      </c>
      <c r="AG43" s="37" t="s">
        <v>51</v>
      </c>
      <c r="AH43" s="35" t="s">
        <v>44</v>
      </c>
      <c r="AI43" s="32"/>
      <c r="AJ43" s="32"/>
      <c r="AK43" s="44"/>
      <c r="AL43" s="45"/>
      <c r="AM43" s="46"/>
      <c r="AN43" s="47"/>
    </row>
    <row r="44" s="2" customFormat="1" ht="186" spans="1:40">
      <c r="A44" s="31" t="s">
        <v>39</v>
      </c>
      <c r="B44" s="31" t="s">
        <v>40</v>
      </c>
      <c r="C44" s="32" t="s">
        <v>73</v>
      </c>
      <c r="D44" s="33" t="s">
        <v>132</v>
      </c>
      <c r="E44" s="34">
        <v>45657</v>
      </c>
      <c r="F44" s="35" t="s">
        <v>62</v>
      </c>
      <c r="G44" s="35" t="s">
        <v>44</v>
      </c>
      <c r="H44" s="35" t="s">
        <v>45</v>
      </c>
      <c r="I44" s="35" t="s">
        <v>133</v>
      </c>
      <c r="J44" s="36" t="s">
        <v>47</v>
      </c>
      <c r="K44" s="35" t="s">
        <v>48</v>
      </c>
      <c r="L44" s="36"/>
      <c r="M44" s="37"/>
      <c r="N44" s="32"/>
      <c r="O44" s="37"/>
      <c r="P44" s="38">
        <v>30</v>
      </c>
      <c r="Q44" s="39" t="s">
        <v>129</v>
      </c>
      <c r="R44" s="40">
        <v>1500</v>
      </c>
      <c r="S44" s="37"/>
      <c r="T44" s="41">
        <f t="shared" si="5"/>
        <v>1500</v>
      </c>
      <c r="U44" s="37"/>
      <c r="V44" s="37"/>
      <c r="W44" s="37"/>
      <c r="X44" s="37"/>
      <c r="Y44" s="37"/>
      <c r="Z44" s="37"/>
      <c r="AA44" s="37"/>
      <c r="AB44" s="42">
        <f t="shared" si="6"/>
        <v>30</v>
      </c>
      <c r="AC44" s="43" t="str">
        <f t="shared" si="7"/>
        <v>把</v>
      </c>
      <c r="AD44" s="41">
        <f t="shared" si="8"/>
        <v>1500</v>
      </c>
      <c r="AE44" s="37">
        <v>0</v>
      </c>
      <c r="AF44" s="41">
        <f t="shared" si="9"/>
        <v>1500</v>
      </c>
      <c r="AG44" s="37" t="s">
        <v>51</v>
      </c>
      <c r="AH44" s="35" t="s">
        <v>44</v>
      </c>
      <c r="AI44" s="32"/>
      <c r="AJ44" s="32"/>
      <c r="AK44" s="44"/>
      <c r="AL44" s="45"/>
      <c r="AM44" s="46"/>
      <c r="AN44" s="47"/>
    </row>
    <row r="45" s="2" customFormat="1" ht="186" spans="1:40">
      <c r="A45" s="31" t="s">
        <v>39</v>
      </c>
      <c r="B45" s="31" t="s">
        <v>40</v>
      </c>
      <c r="C45" s="32" t="s">
        <v>41</v>
      </c>
      <c r="D45" s="33" t="s">
        <v>134</v>
      </c>
      <c r="E45" s="34">
        <v>45657</v>
      </c>
      <c r="F45" s="35" t="s">
        <v>62</v>
      </c>
      <c r="G45" s="35" t="s">
        <v>44</v>
      </c>
      <c r="H45" s="35" t="s">
        <v>45</v>
      </c>
      <c r="I45" s="35" t="s">
        <v>135</v>
      </c>
      <c r="J45" s="36" t="s">
        <v>47</v>
      </c>
      <c r="K45" s="35" t="s">
        <v>48</v>
      </c>
      <c r="L45" s="36"/>
      <c r="M45" s="37"/>
      <c r="N45" s="32"/>
      <c r="O45" s="37"/>
      <c r="P45" s="38">
        <v>10</v>
      </c>
      <c r="Q45" s="39" t="s">
        <v>76</v>
      </c>
      <c r="R45" s="40">
        <v>2000</v>
      </c>
      <c r="S45" s="37"/>
      <c r="T45" s="41">
        <f t="shared" si="5"/>
        <v>2000</v>
      </c>
      <c r="U45" s="37"/>
      <c r="V45" s="37"/>
      <c r="W45" s="37"/>
      <c r="X45" s="37"/>
      <c r="Y45" s="37"/>
      <c r="Z45" s="37"/>
      <c r="AA45" s="37"/>
      <c r="AB45" s="42">
        <f t="shared" si="6"/>
        <v>10</v>
      </c>
      <c r="AC45" s="43" t="str">
        <f t="shared" si="7"/>
        <v>张</v>
      </c>
      <c r="AD45" s="41">
        <f t="shared" si="8"/>
        <v>2000</v>
      </c>
      <c r="AE45" s="37">
        <v>0</v>
      </c>
      <c r="AF45" s="41">
        <f t="shared" si="9"/>
        <v>2000</v>
      </c>
      <c r="AG45" s="37" t="s">
        <v>51</v>
      </c>
      <c r="AH45" s="35" t="s">
        <v>44</v>
      </c>
      <c r="AI45" s="32"/>
      <c r="AJ45" s="32"/>
      <c r="AK45" s="44"/>
      <c r="AL45" s="45"/>
      <c r="AM45" s="46"/>
      <c r="AN45" s="47"/>
    </row>
    <row r="46" s="2" customFormat="1" ht="186" spans="1:40">
      <c r="A46" s="31" t="s">
        <v>39</v>
      </c>
      <c r="B46" s="31" t="s">
        <v>40</v>
      </c>
      <c r="C46" s="32" t="s">
        <v>73</v>
      </c>
      <c r="D46" s="33" t="s">
        <v>136</v>
      </c>
      <c r="E46" s="34">
        <v>45657</v>
      </c>
      <c r="F46" s="35" t="s">
        <v>62</v>
      </c>
      <c r="G46" s="35" t="s">
        <v>44</v>
      </c>
      <c r="H46" s="35" t="s">
        <v>45</v>
      </c>
      <c r="I46" s="35" t="s">
        <v>137</v>
      </c>
      <c r="J46" s="36" t="s">
        <v>47</v>
      </c>
      <c r="K46" s="35" t="s">
        <v>48</v>
      </c>
      <c r="L46" s="36"/>
      <c r="M46" s="37"/>
      <c r="N46" s="32"/>
      <c r="O46" s="37"/>
      <c r="P46" s="38">
        <v>800</v>
      </c>
      <c r="Q46" s="39" t="s">
        <v>137</v>
      </c>
      <c r="R46" s="40">
        <v>8000</v>
      </c>
      <c r="S46" s="37"/>
      <c r="T46" s="41">
        <f t="shared" si="5"/>
        <v>8000</v>
      </c>
      <c r="U46" s="37"/>
      <c r="V46" s="37"/>
      <c r="W46" s="37"/>
      <c r="X46" s="37"/>
      <c r="Y46" s="37"/>
      <c r="Z46" s="37"/>
      <c r="AA46" s="37"/>
      <c r="AB46" s="42">
        <f t="shared" si="6"/>
        <v>800</v>
      </c>
      <c r="AC46" s="43" t="str">
        <f t="shared" si="7"/>
        <v>册</v>
      </c>
      <c r="AD46" s="41">
        <f t="shared" si="8"/>
        <v>8000</v>
      </c>
      <c r="AE46" s="37">
        <v>0</v>
      </c>
      <c r="AF46" s="41">
        <f t="shared" si="9"/>
        <v>8000</v>
      </c>
      <c r="AG46" s="37" t="s">
        <v>51</v>
      </c>
      <c r="AH46" s="35" t="s">
        <v>44</v>
      </c>
      <c r="AI46" s="32"/>
      <c r="AJ46" s="32"/>
      <c r="AK46" s="44"/>
      <c r="AL46" s="45"/>
      <c r="AM46" s="46"/>
      <c r="AN46" s="47"/>
    </row>
    <row r="47" s="2" customFormat="1" ht="186" spans="1:40">
      <c r="A47" s="31" t="s">
        <v>39</v>
      </c>
      <c r="B47" s="31" t="s">
        <v>40</v>
      </c>
      <c r="C47" s="32" t="s">
        <v>84</v>
      </c>
      <c r="D47" s="33" t="s">
        <v>138</v>
      </c>
      <c r="E47" s="34">
        <v>45657</v>
      </c>
      <c r="F47" s="35" t="s">
        <v>62</v>
      </c>
      <c r="G47" s="35" t="s">
        <v>44</v>
      </c>
      <c r="H47" s="35" t="s">
        <v>45</v>
      </c>
      <c r="I47" s="35" t="s">
        <v>139</v>
      </c>
      <c r="J47" s="36" t="s">
        <v>47</v>
      </c>
      <c r="K47" s="35" t="s">
        <v>48</v>
      </c>
      <c r="L47" s="36"/>
      <c r="M47" s="37"/>
      <c r="N47" s="32"/>
      <c r="O47" s="37"/>
      <c r="P47" s="38">
        <v>1</v>
      </c>
      <c r="Q47" s="39" t="s">
        <v>107</v>
      </c>
      <c r="R47" s="40">
        <v>800</v>
      </c>
      <c r="S47" s="37"/>
      <c r="T47" s="41">
        <f t="shared" si="5"/>
        <v>800</v>
      </c>
      <c r="U47" s="37"/>
      <c r="V47" s="37"/>
      <c r="W47" s="37"/>
      <c r="X47" s="37"/>
      <c r="Y47" s="37"/>
      <c r="Z47" s="37"/>
      <c r="AA47" s="37"/>
      <c r="AB47" s="42">
        <f t="shared" si="6"/>
        <v>1</v>
      </c>
      <c r="AC47" s="43" t="str">
        <f t="shared" si="7"/>
        <v>个</v>
      </c>
      <c r="AD47" s="41">
        <f t="shared" si="8"/>
        <v>800</v>
      </c>
      <c r="AE47" s="37">
        <v>0</v>
      </c>
      <c r="AF47" s="41">
        <f t="shared" si="9"/>
        <v>800</v>
      </c>
      <c r="AG47" s="37" t="s">
        <v>51</v>
      </c>
      <c r="AH47" s="35" t="s">
        <v>44</v>
      </c>
      <c r="AI47" s="32"/>
      <c r="AJ47" s="32"/>
      <c r="AK47" s="44"/>
      <c r="AL47" s="45"/>
      <c r="AM47" s="46"/>
      <c r="AN47" s="47"/>
    </row>
    <row r="48" s="2" customFormat="1" ht="246" spans="1:40">
      <c r="A48" s="31" t="s">
        <v>39</v>
      </c>
      <c r="B48" s="31" t="s">
        <v>40</v>
      </c>
      <c r="C48" s="32" t="s">
        <v>84</v>
      </c>
      <c r="D48" s="33" t="s">
        <v>140</v>
      </c>
      <c r="E48" s="34">
        <v>45657</v>
      </c>
      <c r="F48" s="35" t="s">
        <v>53</v>
      </c>
      <c r="G48" s="35" t="s">
        <v>44</v>
      </c>
      <c r="H48" s="35" t="s">
        <v>45</v>
      </c>
      <c r="I48" s="35" t="s">
        <v>141</v>
      </c>
      <c r="J48" s="36" t="s">
        <v>47</v>
      </c>
      <c r="K48" s="35" t="s">
        <v>48</v>
      </c>
      <c r="L48" s="36"/>
      <c r="M48" s="37"/>
      <c r="N48" s="32"/>
      <c r="O48" s="37"/>
      <c r="P48" s="38">
        <v>7</v>
      </c>
      <c r="Q48" s="39" t="s">
        <v>107</v>
      </c>
      <c r="R48" s="40">
        <v>5600</v>
      </c>
      <c r="S48" s="37"/>
      <c r="T48" s="41">
        <f t="shared" si="5"/>
        <v>5600</v>
      </c>
      <c r="U48" s="37"/>
      <c r="V48" s="37"/>
      <c r="W48" s="37"/>
      <c r="X48" s="37"/>
      <c r="Y48" s="37"/>
      <c r="Z48" s="37"/>
      <c r="AA48" s="37"/>
      <c r="AB48" s="42">
        <f t="shared" si="6"/>
        <v>7</v>
      </c>
      <c r="AC48" s="43" t="str">
        <f t="shared" si="7"/>
        <v>个</v>
      </c>
      <c r="AD48" s="41">
        <f t="shared" si="8"/>
        <v>5600</v>
      </c>
      <c r="AE48" s="37">
        <v>0</v>
      </c>
      <c r="AF48" s="41">
        <f t="shared" si="9"/>
        <v>5600</v>
      </c>
      <c r="AG48" s="37" t="s">
        <v>51</v>
      </c>
      <c r="AH48" s="35" t="s">
        <v>44</v>
      </c>
      <c r="AI48" s="32"/>
      <c r="AJ48" s="32"/>
      <c r="AK48" s="44"/>
      <c r="AL48" s="45"/>
      <c r="AM48" s="46"/>
      <c r="AN48" s="47"/>
    </row>
    <row r="49" s="2" customFormat="1" ht="186" spans="1:40">
      <c r="A49" s="31" t="s">
        <v>39</v>
      </c>
      <c r="B49" s="31" t="s">
        <v>40</v>
      </c>
      <c r="C49" s="32" t="s">
        <v>73</v>
      </c>
      <c r="D49" s="33" t="s">
        <v>142</v>
      </c>
      <c r="E49" s="34">
        <v>45657</v>
      </c>
      <c r="F49" s="35" t="s">
        <v>62</v>
      </c>
      <c r="G49" s="35" t="s">
        <v>44</v>
      </c>
      <c r="H49" s="35" t="s">
        <v>45</v>
      </c>
      <c r="I49" s="35" t="s">
        <v>143</v>
      </c>
      <c r="J49" s="36" t="s">
        <v>47</v>
      </c>
      <c r="K49" s="35" t="s">
        <v>48</v>
      </c>
      <c r="L49" s="36"/>
      <c r="M49" s="37"/>
      <c r="N49" s="32"/>
      <c r="O49" s="37"/>
      <c r="P49" s="38">
        <v>1</v>
      </c>
      <c r="Q49" s="39" t="s">
        <v>76</v>
      </c>
      <c r="R49" s="40">
        <v>300</v>
      </c>
      <c r="S49" s="37"/>
      <c r="T49" s="41">
        <f t="shared" si="5"/>
        <v>300</v>
      </c>
      <c r="U49" s="37"/>
      <c r="V49" s="37"/>
      <c r="W49" s="37"/>
      <c r="X49" s="37"/>
      <c r="Y49" s="37"/>
      <c r="Z49" s="37"/>
      <c r="AA49" s="37"/>
      <c r="AB49" s="42">
        <f t="shared" si="6"/>
        <v>1</v>
      </c>
      <c r="AC49" s="43" t="str">
        <f t="shared" si="7"/>
        <v>张</v>
      </c>
      <c r="AD49" s="41">
        <f t="shared" si="8"/>
        <v>300</v>
      </c>
      <c r="AE49" s="37">
        <v>0</v>
      </c>
      <c r="AF49" s="41">
        <f t="shared" si="9"/>
        <v>300</v>
      </c>
      <c r="AG49" s="37" t="s">
        <v>51</v>
      </c>
      <c r="AH49" s="35" t="s">
        <v>44</v>
      </c>
      <c r="AI49" s="32"/>
      <c r="AJ49" s="32"/>
      <c r="AK49" s="44"/>
      <c r="AL49" s="45"/>
      <c r="AM49" s="46"/>
      <c r="AN49" s="47"/>
    </row>
    <row r="50" s="2" customFormat="1" ht="246" spans="1:40">
      <c r="A50" s="31" t="s">
        <v>39</v>
      </c>
      <c r="B50" s="31" t="s">
        <v>40</v>
      </c>
      <c r="C50" s="32" t="s">
        <v>94</v>
      </c>
      <c r="D50" s="33" t="s">
        <v>144</v>
      </c>
      <c r="E50" s="34">
        <v>45657</v>
      </c>
      <c r="F50" s="35" t="s">
        <v>53</v>
      </c>
      <c r="G50" s="35" t="s">
        <v>44</v>
      </c>
      <c r="H50" s="35" t="s">
        <v>45</v>
      </c>
      <c r="I50" s="35" t="s">
        <v>145</v>
      </c>
      <c r="J50" s="36" t="s">
        <v>47</v>
      </c>
      <c r="K50" s="35" t="s">
        <v>48</v>
      </c>
      <c r="L50" s="36"/>
      <c r="M50" s="37"/>
      <c r="N50" s="32"/>
      <c r="O50" s="37"/>
      <c r="P50" s="38">
        <v>8500</v>
      </c>
      <c r="Q50" s="39" t="s">
        <v>146</v>
      </c>
      <c r="R50" s="48">
        <v>3389100</v>
      </c>
      <c r="S50" s="37"/>
      <c r="T50" s="41">
        <f t="shared" si="5"/>
        <v>3389100</v>
      </c>
      <c r="U50" s="37"/>
      <c r="V50" s="37"/>
      <c r="W50" s="37"/>
      <c r="X50" s="37"/>
      <c r="Y50" s="37"/>
      <c r="Z50" s="37"/>
      <c r="AA50" s="37"/>
      <c r="AB50" s="42">
        <f t="shared" si="6"/>
        <v>8500</v>
      </c>
      <c r="AC50" s="43" t="str">
        <f t="shared" si="7"/>
        <v>米</v>
      </c>
      <c r="AD50" s="41">
        <f t="shared" si="8"/>
        <v>3389100</v>
      </c>
      <c r="AE50" s="37">
        <v>0</v>
      </c>
      <c r="AF50" s="41">
        <f t="shared" si="9"/>
        <v>3389100</v>
      </c>
      <c r="AG50" s="37" t="s">
        <v>51</v>
      </c>
      <c r="AH50" s="35" t="s">
        <v>44</v>
      </c>
      <c r="AI50" s="32"/>
      <c r="AJ50" s="32"/>
      <c r="AK50" s="44"/>
      <c r="AL50" s="45"/>
      <c r="AM50" s="46"/>
      <c r="AN50" s="47"/>
    </row>
    <row r="51" s="2" customFormat="1" ht="246" spans="1:40">
      <c r="A51" s="31" t="s">
        <v>39</v>
      </c>
      <c r="B51" s="31" t="s">
        <v>40</v>
      </c>
      <c r="C51" s="32" t="s">
        <v>73</v>
      </c>
      <c r="D51" s="33" t="s">
        <v>147</v>
      </c>
      <c r="E51" s="34">
        <v>45755</v>
      </c>
      <c r="F51" s="35" t="s">
        <v>53</v>
      </c>
      <c r="G51" s="35" t="s">
        <v>44</v>
      </c>
      <c r="H51" s="35" t="s">
        <v>45</v>
      </c>
      <c r="I51" s="35" t="s">
        <v>148</v>
      </c>
      <c r="J51" s="36" t="s">
        <v>47</v>
      </c>
      <c r="K51" s="35" t="s">
        <v>48</v>
      </c>
      <c r="L51" s="36"/>
      <c r="M51" s="37"/>
      <c r="N51" s="32"/>
      <c r="O51" s="37"/>
      <c r="P51" s="38">
        <v>680</v>
      </c>
      <c r="Q51" s="39" t="s">
        <v>50</v>
      </c>
      <c r="R51" s="40">
        <v>290000</v>
      </c>
      <c r="S51" s="37"/>
      <c r="T51" s="41">
        <f t="shared" si="5"/>
        <v>290000</v>
      </c>
      <c r="U51" s="37"/>
      <c r="V51" s="37"/>
      <c r="W51" s="37"/>
      <c r="X51" s="37"/>
      <c r="Y51" s="37"/>
      <c r="Z51" s="37"/>
      <c r="AA51" s="37"/>
      <c r="AB51" s="42">
        <f t="shared" si="6"/>
        <v>680</v>
      </c>
      <c r="AC51" s="43" t="str">
        <f t="shared" si="7"/>
        <v>平方米</v>
      </c>
      <c r="AD51" s="41">
        <f t="shared" si="8"/>
        <v>290000</v>
      </c>
      <c r="AE51" s="37">
        <v>0</v>
      </c>
      <c r="AF51" s="41">
        <f t="shared" si="9"/>
        <v>290000</v>
      </c>
      <c r="AG51" s="37" t="s">
        <v>51</v>
      </c>
      <c r="AH51" s="35" t="s">
        <v>44</v>
      </c>
      <c r="AI51" s="32"/>
      <c r="AJ51" s="32"/>
      <c r="AK51" s="44"/>
      <c r="AL51" s="45"/>
      <c r="AM51" s="46"/>
      <c r="AN51" s="47"/>
    </row>
    <row r="52" s="2" customFormat="1" ht="184.5" spans="1:40">
      <c r="A52" s="31" t="s">
        <v>39</v>
      </c>
      <c r="B52" s="31" t="s">
        <v>40</v>
      </c>
      <c r="C52" s="32" t="s">
        <v>57</v>
      </c>
      <c r="D52" s="33" t="s">
        <v>101</v>
      </c>
      <c r="E52" s="34">
        <v>46022</v>
      </c>
      <c r="F52" s="35" t="s">
        <v>62</v>
      </c>
      <c r="G52" s="35" t="s">
        <v>44</v>
      </c>
      <c r="H52" s="35" t="s">
        <v>45</v>
      </c>
      <c r="I52" s="35" t="s">
        <v>102</v>
      </c>
      <c r="J52" s="36" t="s">
        <v>47</v>
      </c>
      <c r="K52" s="35" t="s">
        <v>48</v>
      </c>
      <c r="L52" s="36"/>
      <c r="M52" s="37"/>
      <c r="N52" s="32"/>
      <c r="O52" s="37"/>
      <c r="P52" s="38">
        <v>1</v>
      </c>
      <c r="Q52" s="39" t="s">
        <v>64</v>
      </c>
      <c r="R52" s="40">
        <v>1300</v>
      </c>
      <c r="S52" s="37"/>
      <c r="T52" s="41">
        <f t="shared" si="5"/>
        <v>1300</v>
      </c>
      <c r="U52" s="37"/>
      <c r="V52" s="37"/>
      <c r="W52" s="37"/>
      <c r="X52" s="37"/>
      <c r="Y52" s="37"/>
      <c r="Z52" s="37"/>
      <c r="AA52" s="37"/>
      <c r="AB52" s="42">
        <f t="shared" si="6"/>
        <v>1</v>
      </c>
      <c r="AC52" s="43" t="str">
        <f t="shared" si="7"/>
        <v>台</v>
      </c>
      <c r="AD52" s="41">
        <f t="shared" si="8"/>
        <v>1300</v>
      </c>
      <c r="AE52" s="37">
        <v>0</v>
      </c>
      <c r="AF52" s="41">
        <f t="shared" si="9"/>
        <v>1300</v>
      </c>
      <c r="AG52" s="37" t="s">
        <v>51</v>
      </c>
      <c r="AH52" s="35" t="s">
        <v>44</v>
      </c>
      <c r="AI52" s="32"/>
      <c r="AJ52" s="32"/>
      <c r="AK52" s="44"/>
      <c r="AL52" s="45"/>
      <c r="AM52" s="46"/>
      <c r="AN52" s="47"/>
    </row>
    <row r="53" s="2" customFormat="1" ht="186" spans="1:40">
      <c r="A53" s="31" t="s">
        <v>39</v>
      </c>
      <c r="B53" s="31" t="s">
        <v>40</v>
      </c>
      <c r="C53" s="32" t="s">
        <v>73</v>
      </c>
      <c r="D53" s="33" t="s">
        <v>99</v>
      </c>
      <c r="E53" s="34">
        <v>46022</v>
      </c>
      <c r="F53" s="35" t="s">
        <v>62</v>
      </c>
      <c r="G53" s="35" t="s">
        <v>44</v>
      </c>
      <c r="H53" s="35" t="s">
        <v>45</v>
      </c>
      <c r="I53" s="35" t="s">
        <v>100</v>
      </c>
      <c r="J53" s="36" t="s">
        <v>47</v>
      </c>
      <c r="K53" s="35" t="s">
        <v>48</v>
      </c>
      <c r="L53" s="36"/>
      <c r="M53" s="37"/>
      <c r="N53" s="32"/>
      <c r="O53" s="37"/>
      <c r="P53" s="38">
        <v>1</v>
      </c>
      <c r="Q53" s="39" t="s">
        <v>64</v>
      </c>
      <c r="R53" s="40">
        <v>1500</v>
      </c>
      <c r="S53" s="37"/>
      <c r="T53" s="41">
        <f t="shared" si="5"/>
        <v>1500</v>
      </c>
      <c r="U53" s="37"/>
      <c r="V53" s="37"/>
      <c r="W53" s="37"/>
      <c r="X53" s="37"/>
      <c r="Y53" s="37"/>
      <c r="Z53" s="37"/>
      <c r="AA53" s="37"/>
      <c r="AB53" s="42">
        <f t="shared" si="6"/>
        <v>1</v>
      </c>
      <c r="AC53" s="43" t="str">
        <f t="shared" si="7"/>
        <v>台</v>
      </c>
      <c r="AD53" s="41">
        <f t="shared" si="8"/>
        <v>1500</v>
      </c>
      <c r="AE53" s="37">
        <v>0</v>
      </c>
      <c r="AF53" s="41">
        <f t="shared" si="9"/>
        <v>1500</v>
      </c>
      <c r="AG53" s="37" t="s">
        <v>51</v>
      </c>
      <c r="AH53" s="35" t="s">
        <v>44</v>
      </c>
      <c r="AI53" s="32"/>
      <c r="AJ53" s="32"/>
      <c r="AK53" s="44"/>
      <c r="AL53" s="45"/>
      <c r="AM53" s="46"/>
      <c r="AN53" s="47"/>
    </row>
    <row r="54" s="2" customFormat="1" ht="186" spans="1:40">
      <c r="A54" s="31" t="s">
        <v>39</v>
      </c>
      <c r="B54" s="31" t="s">
        <v>40</v>
      </c>
      <c r="C54" s="32" t="s">
        <v>73</v>
      </c>
      <c r="D54" s="33" t="s">
        <v>149</v>
      </c>
      <c r="E54" s="34">
        <v>46022</v>
      </c>
      <c r="F54" s="35" t="s">
        <v>62</v>
      </c>
      <c r="G54" s="35" t="s">
        <v>44</v>
      </c>
      <c r="H54" s="35" t="s">
        <v>45</v>
      </c>
      <c r="I54" s="35" t="s">
        <v>104</v>
      </c>
      <c r="J54" s="36" t="s">
        <v>47</v>
      </c>
      <c r="K54" s="35" t="s">
        <v>48</v>
      </c>
      <c r="L54" s="36"/>
      <c r="M54" s="37"/>
      <c r="N54" s="32"/>
      <c r="O54" s="37"/>
      <c r="P54" s="38">
        <v>1</v>
      </c>
      <c r="Q54" s="39" t="s">
        <v>64</v>
      </c>
      <c r="R54" s="40">
        <v>5800</v>
      </c>
      <c r="S54" s="37"/>
      <c r="T54" s="41">
        <f t="shared" si="5"/>
        <v>5800</v>
      </c>
      <c r="U54" s="37"/>
      <c r="V54" s="37"/>
      <c r="W54" s="37"/>
      <c r="X54" s="37"/>
      <c r="Y54" s="37"/>
      <c r="Z54" s="37"/>
      <c r="AA54" s="37"/>
      <c r="AB54" s="42">
        <f t="shared" si="6"/>
        <v>1</v>
      </c>
      <c r="AC54" s="43" t="str">
        <f t="shared" si="7"/>
        <v>台</v>
      </c>
      <c r="AD54" s="41">
        <f t="shared" si="8"/>
        <v>5800</v>
      </c>
      <c r="AE54" s="37">
        <v>0</v>
      </c>
      <c r="AF54" s="41">
        <f t="shared" si="9"/>
        <v>5800</v>
      </c>
      <c r="AG54" s="37" t="s">
        <v>51</v>
      </c>
      <c r="AH54" s="35" t="s">
        <v>44</v>
      </c>
      <c r="AI54" s="32"/>
      <c r="AJ54" s="32"/>
      <c r="AK54" s="44"/>
      <c r="AL54" s="45"/>
      <c r="AM54" s="46"/>
      <c r="AN54" s="47"/>
    </row>
    <row r="55" s="2" customFormat="1" ht="184.5" spans="1:40">
      <c r="A55" s="31" t="s">
        <v>39</v>
      </c>
      <c r="B55" s="31" t="s">
        <v>40</v>
      </c>
      <c r="C55" s="32" t="s">
        <v>57</v>
      </c>
      <c r="D55" s="33" t="s">
        <v>150</v>
      </c>
      <c r="E55" s="34">
        <v>46234</v>
      </c>
      <c r="F55" s="35" t="s">
        <v>62</v>
      </c>
      <c r="G55" s="35" t="s">
        <v>44</v>
      </c>
      <c r="H55" s="35" t="s">
        <v>45</v>
      </c>
      <c r="I55" s="35" t="s">
        <v>151</v>
      </c>
      <c r="J55" s="36" t="s">
        <v>47</v>
      </c>
      <c r="K55" s="35" t="s">
        <v>48</v>
      </c>
      <c r="L55" s="36"/>
      <c r="M55" s="37"/>
      <c r="N55" s="32"/>
      <c r="O55" s="37"/>
      <c r="P55" s="38">
        <v>1</v>
      </c>
      <c r="Q55" s="39" t="s">
        <v>76</v>
      </c>
      <c r="R55" s="40">
        <v>1782</v>
      </c>
      <c r="S55" s="37"/>
      <c r="T55" s="41">
        <f t="shared" si="5"/>
        <v>1782</v>
      </c>
      <c r="U55" s="37"/>
      <c r="V55" s="37"/>
      <c r="W55" s="37"/>
      <c r="X55" s="37"/>
      <c r="Y55" s="37"/>
      <c r="Z55" s="37"/>
      <c r="AA55" s="37"/>
      <c r="AB55" s="42">
        <f t="shared" si="6"/>
        <v>1</v>
      </c>
      <c r="AC55" s="43" t="str">
        <f t="shared" si="7"/>
        <v>张</v>
      </c>
      <c r="AD55" s="41">
        <f t="shared" si="8"/>
        <v>1782</v>
      </c>
      <c r="AE55" s="37">
        <v>0</v>
      </c>
      <c r="AF55" s="41">
        <f t="shared" si="9"/>
        <v>1782</v>
      </c>
      <c r="AG55" s="37" t="s">
        <v>51</v>
      </c>
      <c r="AH55" s="35" t="s">
        <v>44</v>
      </c>
      <c r="AI55" s="32"/>
      <c r="AJ55" s="32"/>
      <c r="AK55" s="44"/>
      <c r="AL55" s="45"/>
      <c r="AM55" s="46"/>
      <c r="AN55" s="47"/>
    </row>
    <row r="56" s="2" customFormat="1" ht="184.5" spans="1:40">
      <c r="A56" s="31" t="s">
        <v>39</v>
      </c>
      <c r="B56" s="31" t="s">
        <v>40</v>
      </c>
      <c r="C56" s="32" t="s">
        <v>57</v>
      </c>
      <c r="D56" s="33" t="s">
        <v>152</v>
      </c>
      <c r="E56" s="34">
        <v>46234</v>
      </c>
      <c r="F56" s="35" t="s">
        <v>62</v>
      </c>
      <c r="G56" s="35" t="s">
        <v>44</v>
      </c>
      <c r="H56" s="35" t="s">
        <v>45</v>
      </c>
      <c r="I56" s="35" t="s">
        <v>153</v>
      </c>
      <c r="J56" s="36" t="s">
        <v>47</v>
      </c>
      <c r="K56" s="35" t="s">
        <v>48</v>
      </c>
      <c r="L56" s="36"/>
      <c r="M56" s="37"/>
      <c r="N56" s="32"/>
      <c r="O56" s="37"/>
      <c r="P56" s="38">
        <v>1</v>
      </c>
      <c r="Q56" s="39" t="s">
        <v>76</v>
      </c>
      <c r="R56" s="40">
        <v>3762</v>
      </c>
      <c r="S56" s="37"/>
      <c r="T56" s="41">
        <f t="shared" si="5"/>
        <v>3762</v>
      </c>
      <c r="U56" s="37"/>
      <c r="V56" s="37"/>
      <c r="W56" s="37"/>
      <c r="X56" s="37"/>
      <c r="Y56" s="37"/>
      <c r="Z56" s="37"/>
      <c r="AA56" s="37"/>
      <c r="AB56" s="42">
        <f t="shared" si="6"/>
        <v>1</v>
      </c>
      <c r="AC56" s="43" t="str">
        <f t="shared" si="7"/>
        <v>张</v>
      </c>
      <c r="AD56" s="41">
        <f t="shared" si="8"/>
        <v>3762</v>
      </c>
      <c r="AE56" s="37">
        <v>0</v>
      </c>
      <c r="AF56" s="41">
        <f t="shared" si="9"/>
        <v>3762</v>
      </c>
      <c r="AG56" s="37" t="s">
        <v>51</v>
      </c>
      <c r="AH56" s="35" t="s">
        <v>44</v>
      </c>
      <c r="AI56" s="32"/>
      <c r="AJ56" s="32"/>
      <c r="AK56" s="44"/>
      <c r="AL56" s="45"/>
      <c r="AM56" s="46"/>
      <c r="AN56" s="47"/>
    </row>
    <row r="57" s="2" customFormat="1" ht="186" spans="1:40">
      <c r="A57" s="31" t="s">
        <v>39</v>
      </c>
      <c r="B57" s="31" t="s">
        <v>40</v>
      </c>
      <c r="C57" s="32" t="s">
        <v>41</v>
      </c>
      <c r="D57" s="33" t="s">
        <v>154</v>
      </c>
      <c r="E57" s="34">
        <v>46234</v>
      </c>
      <c r="F57" s="35" t="s">
        <v>62</v>
      </c>
      <c r="G57" s="35" t="s">
        <v>44</v>
      </c>
      <c r="H57" s="35" t="s">
        <v>45</v>
      </c>
      <c r="I57" s="35" t="s">
        <v>155</v>
      </c>
      <c r="J57" s="36" t="s">
        <v>47</v>
      </c>
      <c r="K57" s="35" t="s">
        <v>48</v>
      </c>
      <c r="L57" s="36"/>
      <c r="M57" s="37"/>
      <c r="N57" s="32"/>
      <c r="O57" s="37"/>
      <c r="P57" s="38">
        <v>2</v>
      </c>
      <c r="Q57" s="39" t="s">
        <v>107</v>
      </c>
      <c r="R57" s="40">
        <v>600</v>
      </c>
      <c r="S57" s="37"/>
      <c r="T57" s="41">
        <f t="shared" si="5"/>
        <v>600</v>
      </c>
      <c r="U57" s="37"/>
      <c r="V57" s="37"/>
      <c r="W57" s="37"/>
      <c r="X57" s="37"/>
      <c r="Y57" s="37"/>
      <c r="Z57" s="37"/>
      <c r="AA57" s="37"/>
      <c r="AB57" s="42">
        <f t="shared" si="6"/>
        <v>2</v>
      </c>
      <c r="AC57" s="43" t="str">
        <f t="shared" si="7"/>
        <v>个</v>
      </c>
      <c r="AD57" s="41">
        <f t="shared" si="8"/>
        <v>600</v>
      </c>
      <c r="AE57" s="37">
        <v>0</v>
      </c>
      <c r="AF57" s="41">
        <f t="shared" si="9"/>
        <v>600</v>
      </c>
      <c r="AG57" s="37" t="s">
        <v>51</v>
      </c>
      <c r="AH57" s="35" t="s">
        <v>44</v>
      </c>
      <c r="AI57" s="32"/>
      <c r="AJ57" s="32"/>
      <c r="AK57" s="44"/>
      <c r="AL57" s="45"/>
      <c r="AM57" s="46"/>
      <c r="AN57" s="47"/>
    </row>
    <row r="58" s="2" customFormat="1" ht="184.5" spans="1:40">
      <c r="A58" s="31" t="s">
        <v>39</v>
      </c>
      <c r="B58" s="31" t="s">
        <v>40</v>
      </c>
      <c r="C58" s="32" t="s">
        <v>57</v>
      </c>
      <c r="D58" s="33" t="s">
        <v>111</v>
      </c>
      <c r="E58" s="34">
        <v>46234</v>
      </c>
      <c r="F58" s="35" t="s">
        <v>62</v>
      </c>
      <c r="G58" s="35" t="s">
        <v>44</v>
      </c>
      <c r="H58" s="35" t="s">
        <v>45</v>
      </c>
      <c r="I58" s="35" t="s">
        <v>156</v>
      </c>
      <c r="J58" s="36" t="s">
        <v>47</v>
      </c>
      <c r="K58" s="35" t="s">
        <v>48</v>
      </c>
      <c r="L58" s="36"/>
      <c r="M58" s="37"/>
      <c r="N58" s="32"/>
      <c r="O58" s="37"/>
      <c r="P58" s="38">
        <v>1</v>
      </c>
      <c r="Q58" s="39" t="s">
        <v>76</v>
      </c>
      <c r="R58" s="40">
        <v>445</v>
      </c>
      <c r="S58" s="37"/>
      <c r="T58" s="41">
        <f t="shared" si="5"/>
        <v>445</v>
      </c>
      <c r="U58" s="37"/>
      <c r="V58" s="37"/>
      <c r="W58" s="37"/>
      <c r="X58" s="37"/>
      <c r="Y58" s="37"/>
      <c r="Z58" s="37"/>
      <c r="AA58" s="37"/>
      <c r="AB58" s="42">
        <f t="shared" si="6"/>
        <v>1</v>
      </c>
      <c r="AC58" s="43" t="str">
        <f t="shared" si="7"/>
        <v>张</v>
      </c>
      <c r="AD58" s="41">
        <f t="shared" si="8"/>
        <v>445</v>
      </c>
      <c r="AE58" s="37">
        <v>0</v>
      </c>
      <c r="AF58" s="41">
        <f t="shared" si="9"/>
        <v>445</v>
      </c>
      <c r="AG58" s="37" t="s">
        <v>51</v>
      </c>
      <c r="AH58" s="35" t="s">
        <v>44</v>
      </c>
      <c r="AI58" s="32"/>
      <c r="AJ58" s="32"/>
      <c r="AK58" s="44"/>
      <c r="AL58" s="45"/>
      <c r="AM58" s="46"/>
      <c r="AN58" s="47"/>
    </row>
    <row r="59" s="2" customFormat="1" ht="184.5" spans="1:40">
      <c r="A59" s="31" t="s">
        <v>39</v>
      </c>
      <c r="B59" s="31" t="s">
        <v>40</v>
      </c>
      <c r="C59" s="32" t="s">
        <v>57</v>
      </c>
      <c r="D59" s="33" t="s">
        <v>157</v>
      </c>
      <c r="E59" s="34">
        <v>46234</v>
      </c>
      <c r="F59" s="35" t="s">
        <v>62</v>
      </c>
      <c r="G59" s="35" t="s">
        <v>44</v>
      </c>
      <c r="H59" s="35" t="s">
        <v>45</v>
      </c>
      <c r="I59" s="35" t="s">
        <v>156</v>
      </c>
      <c r="J59" s="36" t="s">
        <v>47</v>
      </c>
      <c r="K59" s="35" t="s">
        <v>48</v>
      </c>
      <c r="L59" s="36"/>
      <c r="M59" s="37"/>
      <c r="N59" s="32"/>
      <c r="O59" s="37"/>
      <c r="P59" s="38">
        <v>1</v>
      </c>
      <c r="Q59" s="39" t="s">
        <v>107</v>
      </c>
      <c r="R59" s="40">
        <v>393</v>
      </c>
      <c r="S59" s="37"/>
      <c r="T59" s="41">
        <f t="shared" si="5"/>
        <v>393</v>
      </c>
      <c r="U59" s="37"/>
      <c r="V59" s="37"/>
      <c r="W59" s="37"/>
      <c r="X59" s="37"/>
      <c r="Y59" s="37"/>
      <c r="Z59" s="37"/>
      <c r="AA59" s="37"/>
      <c r="AB59" s="42">
        <f t="shared" si="6"/>
        <v>1</v>
      </c>
      <c r="AC59" s="43" t="str">
        <f t="shared" si="7"/>
        <v>个</v>
      </c>
      <c r="AD59" s="41">
        <f t="shared" si="8"/>
        <v>393</v>
      </c>
      <c r="AE59" s="37">
        <v>0</v>
      </c>
      <c r="AF59" s="41">
        <f t="shared" si="9"/>
        <v>393</v>
      </c>
      <c r="AG59" s="37" t="s">
        <v>51</v>
      </c>
      <c r="AH59" s="35" t="s">
        <v>44</v>
      </c>
      <c r="AI59" s="32"/>
      <c r="AJ59" s="32"/>
      <c r="AK59" s="44"/>
      <c r="AL59" s="45"/>
      <c r="AM59" s="46"/>
      <c r="AN59" s="47"/>
    </row>
    <row r="60" s="2" customFormat="1" ht="186" spans="1:40">
      <c r="A60" s="31" t="s">
        <v>39</v>
      </c>
      <c r="B60" s="31" t="s">
        <v>40</v>
      </c>
      <c r="C60" s="32" t="s">
        <v>84</v>
      </c>
      <c r="D60" s="33" t="s">
        <v>115</v>
      </c>
      <c r="E60" s="34">
        <v>46234</v>
      </c>
      <c r="F60" s="35" t="s">
        <v>62</v>
      </c>
      <c r="G60" s="35" t="s">
        <v>44</v>
      </c>
      <c r="H60" s="35" t="s">
        <v>45</v>
      </c>
      <c r="I60" s="35" t="s">
        <v>158</v>
      </c>
      <c r="J60" s="36" t="s">
        <v>47</v>
      </c>
      <c r="K60" s="35" t="s">
        <v>48</v>
      </c>
      <c r="L60" s="36"/>
      <c r="M60" s="37"/>
      <c r="N60" s="32"/>
      <c r="O60" s="37"/>
      <c r="P60" s="38">
        <v>40</v>
      </c>
      <c r="Q60" s="39" t="s">
        <v>129</v>
      </c>
      <c r="R60" s="40">
        <v>4800</v>
      </c>
      <c r="S60" s="37"/>
      <c r="T60" s="41">
        <f t="shared" si="5"/>
        <v>4800</v>
      </c>
      <c r="U60" s="37"/>
      <c r="V60" s="37"/>
      <c r="W60" s="37"/>
      <c r="X60" s="37"/>
      <c r="Y60" s="37"/>
      <c r="Z60" s="37"/>
      <c r="AA60" s="37"/>
      <c r="AB60" s="42">
        <f t="shared" si="6"/>
        <v>40</v>
      </c>
      <c r="AC60" s="43" t="str">
        <f t="shared" si="7"/>
        <v>把</v>
      </c>
      <c r="AD60" s="41">
        <f t="shared" si="8"/>
        <v>4800</v>
      </c>
      <c r="AE60" s="37">
        <v>0</v>
      </c>
      <c r="AF60" s="41">
        <f t="shared" si="9"/>
        <v>4800</v>
      </c>
      <c r="AG60" s="37" t="s">
        <v>51</v>
      </c>
      <c r="AH60" s="35" t="s">
        <v>44</v>
      </c>
      <c r="AI60" s="32"/>
      <c r="AJ60" s="32"/>
      <c r="AK60" s="44"/>
      <c r="AL60" s="45"/>
      <c r="AM60" s="46"/>
      <c r="AN60" s="47"/>
    </row>
    <row r="61" s="2" customFormat="1" ht="246" spans="1:40">
      <c r="A61" s="31" t="s">
        <v>39</v>
      </c>
      <c r="B61" s="31" t="s">
        <v>40</v>
      </c>
      <c r="C61" s="32" t="s">
        <v>73</v>
      </c>
      <c r="D61" s="33" t="s">
        <v>159</v>
      </c>
      <c r="E61" s="85">
        <v>44482</v>
      </c>
      <c r="F61" s="35" t="s">
        <v>53</v>
      </c>
      <c r="G61" s="35" t="s">
        <v>44</v>
      </c>
      <c r="H61" s="64" t="s">
        <v>45</v>
      </c>
      <c r="I61" s="35" t="s">
        <v>160</v>
      </c>
      <c r="J61" s="65" t="s">
        <v>47</v>
      </c>
      <c r="K61" s="35" t="s">
        <v>48</v>
      </c>
      <c r="L61" s="36"/>
      <c r="M61" s="37"/>
      <c r="N61" s="32"/>
      <c r="O61" s="37"/>
      <c r="P61" s="38">
        <v>22</v>
      </c>
      <c r="Q61" s="39" t="s">
        <v>108</v>
      </c>
      <c r="R61" s="40">
        <v>261000</v>
      </c>
      <c r="S61" s="37"/>
      <c r="T61" s="41">
        <f t="shared" si="5"/>
        <v>261000</v>
      </c>
      <c r="U61" s="37"/>
      <c r="V61" s="37"/>
      <c r="W61" s="37"/>
      <c r="X61" s="37"/>
      <c r="Y61" s="37"/>
      <c r="Z61" s="37"/>
      <c r="AA61" s="37"/>
      <c r="AB61" s="42">
        <f t="shared" si="6"/>
        <v>22</v>
      </c>
      <c r="AC61" s="43" t="str">
        <f t="shared" si="7"/>
        <v>座</v>
      </c>
      <c r="AD61" s="41">
        <f t="shared" si="8"/>
        <v>261000</v>
      </c>
      <c r="AE61" s="37">
        <v>0</v>
      </c>
      <c r="AF61" s="41">
        <f t="shared" si="9"/>
        <v>261000</v>
      </c>
      <c r="AG61" s="37" t="s">
        <v>51</v>
      </c>
      <c r="AH61" s="35" t="s">
        <v>44</v>
      </c>
      <c r="AI61" s="32"/>
      <c r="AJ61" s="32"/>
      <c r="AK61" s="44"/>
      <c r="AL61" s="45"/>
      <c r="AM61" s="46"/>
      <c r="AN61" s="47"/>
    </row>
    <row r="62" s="2" customFormat="1" ht="186" spans="1:40">
      <c r="A62" s="31" t="s">
        <v>39</v>
      </c>
      <c r="B62" s="31" t="s">
        <v>40</v>
      </c>
      <c r="C62" s="32" t="s">
        <v>73</v>
      </c>
      <c r="D62" s="33" t="s">
        <v>161</v>
      </c>
      <c r="E62" s="34">
        <v>45657</v>
      </c>
      <c r="F62" s="35" t="s">
        <v>62</v>
      </c>
      <c r="G62" s="35" t="s">
        <v>44</v>
      </c>
      <c r="H62" s="35" t="s">
        <v>45</v>
      </c>
      <c r="I62" s="35" t="s">
        <v>162</v>
      </c>
      <c r="J62" s="36" t="s">
        <v>47</v>
      </c>
      <c r="K62" s="35" t="s">
        <v>48</v>
      </c>
      <c r="L62" s="36"/>
      <c r="M62" s="37"/>
      <c r="N62" s="32"/>
      <c r="O62" s="37"/>
      <c r="P62" s="38">
        <v>1</v>
      </c>
      <c r="Q62" s="39" t="s">
        <v>107</v>
      </c>
      <c r="R62" s="40">
        <v>500</v>
      </c>
      <c r="S62" s="37"/>
      <c r="T62" s="41">
        <f t="shared" si="5"/>
        <v>500</v>
      </c>
      <c r="U62" s="37"/>
      <c r="V62" s="37"/>
      <c r="W62" s="37"/>
      <c r="X62" s="37"/>
      <c r="Y62" s="37"/>
      <c r="Z62" s="37"/>
      <c r="AA62" s="37"/>
      <c r="AB62" s="42">
        <f t="shared" si="6"/>
        <v>1</v>
      </c>
      <c r="AC62" s="43" t="str">
        <f t="shared" si="7"/>
        <v>个</v>
      </c>
      <c r="AD62" s="41">
        <f t="shared" si="8"/>
        <v>500</v>
      </c>
      <c r="AE62" s="37">
        <v>0</v>
      </c>
      <c r="AF62" s="41">
        <f t="shared" si="9"/>
        <v>500</v>
      </c>
      <c r="AG62" s="37" t="s">
        <v>51</v>
      </c>
      <c r="AH62" s="35" t="s">
        <v>44</v>
      </c>
      <c r="AI62" s="32"/>
      <c r="AJ62" s="32"/>
      <c r="AK62" s="44"/>
      <c r="AL62" s="45"/>
      <c r="AM62" s="46"/>
      <c r="AN62" s="47"/>
    </row>
    <row r="63" s="2" customFormat="1" ht="186" spans="1:40">
      <c r="A63" s="31" t="s">
        <v>39</v>
      </c>
      <c r="B63" s="31" t="s">
        <v>40</v>
      </c>
      <c r="C63" s="32" t="s">
        <v>73</v>
      </c>
      <c r="D63" s="33" t="s">
        <v>163</v>
      </c>
      <c r="E63" s="34">
        <v>45657</v>
      </c>
      <c r="F63" s="35" t="s">
        <v>62</v>
      </c>
      <c r="G63" s="35" t="s">
        <v>44</v>
      </c>
      <c r="H63" s="35" t="s">
        <v>45</v>
      </c>
      <c r="I63" s="35" t="s">
        <v>155</v>
      </c>
      <c r="J63" s="36" t="s">
        <v>47</v>
      </c>
      <c r="K63" s="35" t="s">
        <v>48</v>
      </c>
      <c r="L63" s="36"/>
      <c r="M63" s="37"/>
      <c r="N63" s="32"/>
      <c r="O63" s="37"/>
      <c r="P63" s="38">
        <v>1</v>
      </c>
      <c r="Q63" s="39" t="s">
        <v>108</v>
      </c>
      <c r="R63" s="40">
        <v>1000</v>
      </c>
      <c r="S63" s="37"/>
      <c r="T63" s="41">
        <f t="shared" si="5"/>
        <v>1000</v>
      </c>
      <c r="U63" s="37"/>
      <c r="V63" s="37"/>
      <c r="W63" s="37"/>
      <c r="X63" s="37"/>
      <c r="Y63" s="37"/>
      <c r="Z63" s="37"/>
      <c r="AA63" s="37"/>
      <c r="AB63" s="42">
        <f t="shared" si="6"/>
        <v>1</v>
      </c>
      <c r="AC63" s="43" t="str">
        <f t="shared" si="7"/>
        <v>座</v>
      </c>
      <c r="AD63" s="41">
        <f t="shared" si="8"/>
        <v>1000</v>
      </c>
      <c r="AE63" s="37">
        <v>0</v>
      </c>
      <c r="AF63" s="41">
        <f t="shared" si="9"/>
        <v>1000</v>
      </c>
      <c r="AG63" s="37" t="s">
        <v>51</v>
      </c>
      <c r="AH63" s="35" t="s">
        <v>44</v>
      </c>
      <c r="AI63" s="32"/>
      <c r="AJ63" s="32"/>
      <c r="AK63" s="44"/>
      <c r="AL63" s="45"/>
      <c r="AM63" s="46"/>
      <c r="AN63" s="47"/>
    </row>
    <row r="64" s="2" customFormat="1" ht="129" customHeight="1" spans="1:40">
      <c r="A64" s="31"/>
      <c r="B64" s="31"/>
      <c r="C64" s="32"/>
      <c r="D64" s="86" t="s">
        <v>164</v>
      </c>
      <c r="E64" s="34"/>
      <c r="F64" s="35"/>
      <c r="G64" s="35"/>
      <c r="H64" s="35"/>
      <c r="I64" s="35"/>
      <c r="J64" s="36"/>
      <c r="K64" s="35"/>
      <c r="L64" s="36"/>
      <c r="M64" s="37"/>
      <c r="N64" s="32"/>
      <c r="O64" s="37"/>
      <c r="P64" s="38"/>
      <c r="Q64" s="39"/>
      <c r="R64" s="40">
        <f>SUM(R7:R63)</f>
        <v>9886742</v>
      </c>
      <c r="S64" s="37"/>
      <c r="T64" s="41">
        <f>SUM(T7:T63)</f>
        <v>9886742</v>
      </c>
      <c r="U64" s="37"/>
      <c r="V64" s="37"/>
      <c r="W64" s="37"/>
      <c r="X64" s="37"/>
      <c r="Y64" s="37"/>
      <c r="Z64" s="37"/>
      <c r="AA64" s="37"/>
      <c r="AB64" s="42"/>
      <c r="AC64" s="43"/>
      <c r="AD64" s="41">
        <f>SUM(AD7:AD63)</f>
        <v>9886742</v>
      </c>
      <c r="AE64" s="37"/>
      <c r="AF64" s="41">
        <f>SUM(AF7:AF63)</f>
        <v>9886742</v>
      </c>
      <c r="AG64" s="37"/>
      <c r="AH64" s="35"/>
      <c r="AI64" s="32"/>
      <c r="AJ64" s="32"/>
      <c r="AK64" s="44"/>
      <c r="AL64" s="45"/>
      <c r="AM64" s="46"/>
      <c r="AN64" s="47"/>
    </row>
    <row r="65" spans="1:41">
      <c r="AD65" s="5" t="s">
        <v>165</v>
      </c>
      <c r="AO65" s="87"/>
    </row>
    <row r="66" s="1" customFormat="1" ht="61.5" spans="1:41">
      <c r="A66" s="88" t="s">
        <v>166</v>
      </c>
      <c r="B66" s="89"/>
      <c r="C66" s="89"/>
      <c r="D66" s="89"/>
      <c r="E66" s="89"/>
      <c r="F66" s="89"/>
      <c r="G66" s="89"/>
      <c r="H66" s="89"/>
      <c r="I66" s="89"/>
      <c r="J66" s="89"/>
      <c r="K66" s="89"/>
      <c r="L66" s="89"/>
      <c r="M66" s="89"/>
      <c r="N66" s="89"/>
      <c r="O66" s="89"/>
      <c r="P66" s="90"/>
      <c r="Q66" s="89"/>
      <c r="R66" s="89"/>
      <c r="S66" s="89"/>
      <c r="T66" s="89"/>
      <c r="U66" s="89"/>
      <c r="V66" s="89"/>
      <c r="W66" s="89"/>
      <c r="X66" s="89"/>
      <c r="Y66" s="89"/>
      <c r="Z66" s="89"/>
      <c r="AA66" s="89"/>
      <c r="AB66" s="7"/>
      <c r="AC66" s="7"/>
      <c r="AD66" s="5"/>
      <c r="AE66" s="5"/>
      <c r="AF66" s="5"/>
      <c r="AG66" s="5"/>
      <c r="AH66" s="8"/>
      <c r="AI66" s="8"/>
      <c r="AJ66" s="8"/>
      <c r="AK66" s="9"/>
      <c r="AL66" s="1"/>
      <c r="AM66" s="9"/>
    </row>
    <row r="67" s="1" customFormat="1" ht="61.5" spans="1:41">
      <c r="A67" s="88" t="s">
        <v>167</v>
      </c>
      <c r="B67" s="89"/>
      <c r="C67" s="89"/>
      <c r="D67" s="89"/>
      <c r="E67" s="89"/>
      <c r="F67" s="89"/>
      <c r="G67" s="89"/>
      <c r="H67" s="89"/>
      <c r="I67" s="89"/>
      <c r="J67" s="89"/>
      <c r="K67" s="89"/>
      <c r="L67" s="89"/>
      <c r="M67" s="89"/>
      <c r="N67" s="89"/>
      <c r="O67" s="89"/>
      <c r="P67" s="90"/>
      <c r="Q67" s="89"/>
      <c r="R67" s="89"/>
      <c r="S67" s="89"/>
      <c r="T67" s="89"/>
      <c r="U67" s="89"/>
      <c r="V67" s="89"/>
      <c r="W67" s="89"/>
      <c r="X67" s="89"/>
      <c r="Y67" s="89"/>
      <c r="Z67" s="89"/>
      <c r="AA67" s="89"/>
      <c r="AB67" s="7"/>
      <c r="AC67" s="7"/>
      <c r="AD67" s="5"/>
      <c r="AE67" s="5"/>
      <c r="AF67" s="5"/>
      <c r="AG67" s="5"/>
      <c r="AH67" s="8"/>
      <c r="AI67" s="8"/>
      <c r="AJ67" s="8"/>
      <c r="AK67" s="9"/>
      <c r="AL67" s="1"/>
      <c r="AM67" s="9"/>
    </row>
    <row r="68" s="1" customFormat="1" ht="61.5" spans="1:41">
      <c r="A68" s="88" t="s">
        <v>168</v>
      </c>
      <c r="B68" s="89"/>
      <c r="C68" s="89"/>
      <c r="D68" s="89"/>
      <c r="E68" s="89"/>
      <c r="F68" s="89"/>
      <c r="G68" s="89"/>
      <c r="H68" s="89"/>
      <c r="I68" s="89"/>
      <c r="J68" s="89"/>
      <c r="K68" s="89"/>
      <c r="L68" s="89"/>
      <c r="M68" s="89"/>
      <c r="N68" s="89"/>
      <c r="O68" s="89"/>
      <c r="P68" s="90"/>
      <c r="Q68" s="89"/>
      <c r="R68" s="89"/>
      <c r="S68" s="89"/>
      <c r="T68" s="89"/>
      <c r="U68" s="89"/>
      <c r="V68" s="89"/>
      <c r="W68" s="89"/>
      <c r="X68" s="89"/>
      <c r="Y68" s="89"/>
      <c r="Z68" s="89"/>
      <c r="AA68" s="89"/>
      <c r="AB68" s="7"/>
      <c r="AC68" s="7"/>
      <c r="AD68" s="5"/>
      <c r="AE68" s="5"/>
      <c r="AF68" s="5"/>
      <c r="AG68" s="5"/>
      <c r="AH68" s="8"/>
      <c r="AI68" s="8"/>
      <c r="AJ68" s="8"/>
      <c r="AK68" s="9"/>
      <c r="AL68" s="1"/>
      <c r="AM68" s="9"/>
    </row>
    <row r="69" s="1" customFormat="1" ht="61.5" spans="1:41">
      <c r="A69" s="88" t="s">
        <v>169</v>
      </c>
      <c r="B69" s="89"/>
      <c r="C69" s="89"/>
      <c r="D69" s="89"/>
      <c r="E69" s="89"/>
      <c r="F69" s="89"/>
      <c r="G69" s="89"/>
      <c r="H69" s="89"/>
      <c r="I69" s="89"/>
      <c r="J69" s="89"/>
      <c r="K69" s="89"/>
      <c r="L69" s="89"/>
      <c r="M69" s="89"/>
      <c r="N69" s="89"/>
      <c r="O69" s="89"/>
      <c r="P69" s="90"/>
      <c r="Q69" s="89"/>
      <c r="R69" s="89"/>
      <c r="S69" s="89"/>
      <c r="T69" s="89"/>
      <c r="U69" s="89"/>
      <c r="V69" s="89"/>
      <c r="W69" s="89"/>
      <c r="X69" s="89"/>
      <c r="Y69" s="89"/>
      <c r="Z69" s="89"/>
      <c r="AA69" s="89"/>
      <c r="AB69" s="7"/>
      <c r="AC69" s="7"/>
      <c r="AD69" s="5"/>
      <c r="AE69" s="5"/>
      <c r="AF69" s="5"/>
      <c r="AG69" s="5"/>
      <c r="AH69" s="8"/>
      <c r="AI69" s="8"/>
      <c r="AJ69" s="8"/>
      <c r="AK69" s="9"/>
      <c r="AL69" s="1"/>
      <c r="AM69" s="9"/>
    </row>
    <row r="70" s="1" customFormat="1" ht="61.5" spans="1:41">
      <c r="A70" s="91" t="s">
        <v>170</v>
      </c>
      <c r="B70" s="92"/>
      <c r="C70" s="92"/>
      <c r="D70" s="92"/>
      <c r="E70" s="92"/>
      <c r="F70" s="92"/>
      <c r="G70" s="92"/>
      <c r="H70" s="92"/>
      <c r="I70" s="92"/>
      <c r="J70" s="92"/>
      <c r="K70" s="92"/>
      <c r="L70" s="92"/>
      <c r="M70" s="92"/>
      <c r="N70" s="92"/>
      <c r="O70" s="92"/>
      <c r="P70" s="93"/>
      <c r="Q70" s="92"/>
      <c r="R70" s="92"/>
      <c r="S70" s="92"/>
      <c r="T70" s="92"/>
      <c r="U70" s="92"/>
      <c r="V70" s="92"/>
      <c r="W70" s="92"/>
      <c r="X70" s="92"/>
      <c r="Y70" s="92"/>
      <c r="Z70" s="92"/>
      <c r="AA70" s="92"/>
      <c r="AB70" s="7"/>
      <c r="AC70" s="7"/>
      <c r="AD70" s="5"/>
      <c r="AE70" s="5"/>
      <c r="AF70" s="5"/>
      <c r="AG70" s="5"/>
      <c r="AH70" s="8"/>
      <c r="AI70" s="8"/>
      <c r="AJ70" s="8"/>
      <c r="AK70" s="94"/>
      <c r="AL70" s="1"/>
      <c r="AM70" s="94"/>
    </row>
    <row r="71" s="1" customFormat="1" ht="61.5" spans="1:41">
      <c r="A71" s="88" t="s">
        <v>171</v>
      </c>
      <c r="B71" s="89"/>
      <c r="C71" s="89"/>
      <c r="D71" s="89"/>
      <c r="E71" s="89"/>
      <c r="F71" s="89"/>
      <c r="G71" s="89"/>
      <c r="H71" s="89"/>
      <c r="I71" s="89"/>
      <c r="J71" s="89"/>
      <c r="K71" s="89"/>
      <c r="L71" s="89"/>
      <c r="M71" s="89"/>
      <c r="N71" s="89"/>
      <c r="O71" s="89"/>
      <c r="P71" s="90"/>
      <c r="Q71" s="89"/>
      <c r="R71" s="89"/>
      <c r="S71" s="89"/>
      <c r="T71" s="89"/>
      <c r="U71" s="89"/>
      <c r="V71" s="89"/>
      <c r="W71" s="89"/>
      <c r="X71" s="89"/>
      <c r="Y71" s="89"/>
      <c r="Z71" s="89"/>
      <c r="AA71" s="89"/>
      <c r="AB71" s="7"/>
      <c r="AC71" s="7"/>
      <c r="AD71" s="5"/>
      <c r="AE71" s="5"/>
      <c r="AF71" s="5"/>
      <c r="AG71" s="5"/>
      <c r="AH71" s="8"/>
      <c r="AI71" s="8"/>
      <c r="AJ71" s="8"/>
      <c r="AK71" s="9"/>
      <c r="AL71" s="1"/>
      <c r="AM71" s="9"/>
    </row>
    <row r="72" s="1" customFormat="1" ht="61.5" spans="1:41">
      <c r="A72" s="88" t="s">
        <v>172</v>
      </c>
      <c r="B72" s="89"/>
      <c r="C72" s="89"/>
      <c r="D72" s="89"/>
      <c r="E72" s="89"/>
      <c r="F72" s="89"/>
      <c r="G72" s="89"/>
      <c r="H72" s="89"/>
      <c r="I72" s="89"/>
      <c r="J72" s="89"/>
      <c r="K72" s="89"/>
      <c r="L72" s="89"/>
      <c r="M72" s="89"/>
      <c r="N72" s="89"/>
      <c r="O72" s="89"/>
      <c r="P72" s="90"/>
      <c r="Q72" s="89"/>
      <c r="R72" s="89"/>
      <c r="S72" s="89"/>
      <c r="T72" s="89"/>
      <c r="U72" s="89"/>
      <c r="V72" s="89"/>
      <c r="W72" s="89"/>
      <c r="X72" s="89"/>
      <c r="Y72" s="89"/>
      <c r="Z72" s="89"/>
      <c r="AA72" s="89"/>
      <c r="AB72" s="7"/>
      <c r="AC72" s="7"/>
      <c r="AD72" s="5"/>
      <c r="AE72" s="5"/>
      <c r="AF72" s="5"/>
      <c r="AG72" s="5"/>
      <c r="AH72" s="8"/>
      <c r="AI72" s="8"/>
      <c r="AJ72" s="8"/>
      <c r="AK72" s="9"/>
      <c r="AL72" s="1"/>
      <c r="AM72" s="9"/>
    </row>
    <row r="73" s="1" customFormat="1" ht="61.5" spans="1:41">
      <c r="A73" s="88" t="s">
        <v>173</v>
      </c>
      <c r="B73" s="89"/>
      <c r="C73" s="89"/>
      <c r="D73" s="89"/>
      <c r="E73" s="89"/>
      <c r="F73" s="89"/>
      <c r="G73" s="89"/>
      <c r="H73" s="89"/>
      <c r="I73" s="89"/>
      <c r="J73" s="89"/>
      <c r="K73" s="89"/>
      <c r="L73" s="89"/>
      <c r="M73" s="89"/>
      <c r="N73" s="89"/>
      <c r="O73" s="89"/>
      <c r="P73" s="90"/>
      <c r="Q73" s="89"/>
      <c r="R73" s="89"/>
      <c r="S73" s="89"/>
      <c r="T73" s="89"/>
      <c r="U73" s="89"/>
      <c r="V73" s="89"/>
      <c r="W73" s="89"/>
      <c r="X73" s="89"/>
      <c r="Y73" s="89"/>
      <c r="Z73" s="89"/>
      <c r="AA73" s="89"/>
      <c r="AB73" s="7"/>
      <c r="AC73" s="7"/>
      <c r="AD73" s="5"/>
      <c r="AE73" s="5"/>
      <c r="AF73" s="5"/>
      <c r="AG73" s="5"/>
      <c r="AH73" s="8"/>
      <c r="AI73" s="8"/>
      <c r="AJ73" s="8"/>
      <c r="AK73" s="9"/>
      <c r="AL73" s="1"/>
      <c r="AM73" s="9"/>
    </row>
    <row r="74" s="1" customFormat="1" ht="61.5" spans="1:41">
      <c r="A74" s="88" t="s">
        <v>174</v>
      </c>
      <c r="B74" s="89"/>
      <c r="C74" s="89"/>
      <c r="D74" s="89"/>
      <c r="E74" s="89"/>
      <c r="F74" s="89"/>
      <c r="G74" s="89"/>
      <c r="H74" s="89"/>
      <c r="I74" s="89"/>
      <c r="J74" s="89"/>
      <c r="K74" s="89"/>
      <c r="L74" s="89"/>
      <c r="M74" s="89"/>
      <c r="N74" s="89"/>
      <c r="O74" s="89"/>
      <c r="P74" s="90"/>
      <c r="Q74" s="89"/>
      <c r="R74" s="89"/>
      <c r="S74" s="89"/>
      <c r="T74" s="89"/>
      <c r="U74" s="89"/>
      <c r="V74" s="89"/>
      <c r="W74" s="89"/>
      <c r="X74" s="89"/>
      <c r="Y74" s="89"/>
      <c r="Z74" s="89"/>
      <c r="AA74" s="89"/>
      <c r="AB74" s="7"/>
      <c r="AC74" s="7"/>
      <c r="AD74" s="5"/>
      <c r="AE74" s="5"/>
      <c r="AF74" s="5"/>
      <c r="AG74" s="5"/>
      <c r="AH74" s="8"/>
      <c r="AI74" s="8"/>
      <c r="AJ74" s="8"/>
      <c r="AK74" s="9"/>
      <c r="AL74" s="1"/>
      <c r="AM74" s="9"/>
    </row>
    <row r="75" s="1" customFormat="1" ht="61.5" spans="1:41">
      <c r="A75" s="88" t="s">
        <v>175</v>
      </c>
      <c r="B75" s="89"/>
      <c r="C75" s="89"/>
      <c r="D75" s="89"/>
      <c r="E75" s="89"/>
      <c r="F75" s="89"/>
      <c r="G75" s="89"/>
      <c r="H75" s="89"/>
      <c r="I75" s="89"/>
      <c r="J75" s="89"/>
      <c r="K75" s="89"/>
      <c r="L75" s="89"/>
      <c r="M75" s="89"/>
      <c r="N75" s="89"/>
      <c r="O75" s="89"/>
      <c r="P75" s="90"/>
      <c r="Q75" s="89"/>
      <c r="R75" s="89"/>
      <c r="S75" s="89"/>
      <c r="T75" s="89"/>
      <c r="U75" s="89"/>
      <c r="V75" s="89"/>
      <c r="W75" s="89"/>
      <c r="X75" s="89"/>
      <c r="Y75" s="89"/>
      <c r="Z75" s="89"/>
      <c r="AA75" s="89"/>
      <c r="AB75" s="7"/>
      <c r="AC75" s="7"/>
      <c r="AD75" s="5"/>
      <c r="AE75" s="5"/>
      <c r="AF75" s="5"/>
      <c r="AG75" s="5"/>
      <c r="AH75" s="8"/>
      <c r="AI75" s="8"/>
      <c r="AJ75" s="8"/>
      <c r="AK75" s="9"/>
      <c r="AL75" s="1"/>
      <c r="AM75" s="9"/>
    </row>
    <row r="76" s="3" customFormat="1" ht="61.5" spans="1:41">
      <c r="A76" s="91" t="s">
        <v>176</v>
      </c>
      <c r="B76" s="92"/>
      <c r="C76" s="92"/>
      <c r="D76" s="92"/>
      <c r="E76" s="92"/>
      <c r="F76" s="92"/>
      <c r="G76" s="92"/>
      <c r="H76" s="92"/>
      <c r="I76" s="92"/>
      <c r="J76" s="92"/>
      <c r="K76" s="92"/>
      <c r="L76" s="92"/>
      <c r="M76" s="92"/>
      <c r="N76" s="92"/>
      <c r="O76" s="92"/>
      <c r="P76" s="93"/>
      <c r="Q76" s="92"/>
      <c r="R76" s="92"/>
      <c r="S76" s="92"/>
      <c r="T76" s="92"/>
      <c r="U76" s="92"/>
      <c r="V76" s="92"/>
      <c r="W76" s="92"/>
      <c r="X76" s="92"/>
      <c r="Y76" s="92"/>
      <c r="Z76" s="92"/>
      <c r="AA76" s="92"/>
      <c r="AB76" s="3"/>
      <c r="AC76" s="3"/>
      <c r="AD76" s="3"/>
      <c r="AE76" s="3"/>
      <c r="AF76" s="3"/>
      <c r="AG76" s="3"/>
      <c r="AH76" s="3"/>
      <c r="AI76" s="3"/>
      <c r="AJ76" s="3"/>
      <c r="AK76" s="95"/>
      <c r="AL76" s="3"/>
      <c r="AM76" s="95"/>
    </row>
    <row r="77" ht="61.5" spans="1:41">
      <c r="A77" s="91" t="s">
        <v>177</v>
      </c>
      <c r="B77" s="92"/>
      <c r="C77" s="92"/>
      <c r="D77" s="92"/>
      <c r="E77" s="92"/>
      <c r="F77" s="92"/>
      <c r="G77" s="92"/>
      <c r="H77" s="92"/>
      <c r="I77" s="92"/>
      <c r="J77" s="92"/>
      <c r="K77" s="92"/>
      <c r="L77" s="92"/>
      <c r="M77" s="92"/>
      <c r="N77" s="92"/>
      <c r="O77" s="92"/>
      <c r="P77" s="93"/>
      <c r="Q77" s="92"/>
      <c r="R77" s="92"/>
      <c r="S77" s="92"/>
      <c r="T77" s="92"/>
      <c r="U77" s="92"/>
      <c r="V77" s="92"/>
      <c r="W77" s="92"/>
      <c r="X77" s="92"/>
      <c r="Y77" s="92"/>
      <c r="Z77" s="92"/>
      <c r="AA77" s="92"/>
    </row>
    <row r="78" s="1" customFormat="1" ht="61.5" spans="1:41">
      <c r="A78" s="88" t="s">
        <v>178</v>
      </c>
      <c r="B78" s="89"/>
      <c r="C78" s="89"/>
      <c r="D78" s="89"/>
      <c r="E78" s="89"/>
      <c r="F78" s="89"/>
      <c r="G78" s="89"/>
      <c r="H78" s="89"/>
      <c r="I78" s="89"/>
      <c r="J78" s="89"/>
      <c r="K78" s="89"/>
      <c r="L78" s="89"/>
      <c r="M78" s="89"/>
      <c r="N78" s="89"/>
      <c r="O78" s="89"/>
      <c r="P78" s="90"/>
      <c r="Q78" s="89"/>
      <c r="R78" s="89"/>
      <c r="S78" s="89"/>
      <c r="T78" s="89"/>
      <c r="U78" s="89"/>
      <c r="V78" s="89"/>
      <c r="W78" s="89"/>
      <c r="X78" s="89"/>
      <c r="Y78" s="89"/>
      <c r="Z78" s="89"/>
      <c r="AA78" s="89"/>
      <c r="AB78" s="7"/>
      <c r="AC78" s="7"/>
      <c r="AD78" s="5"/>
      <c r="AE78" s="5"/>
      <c r="AF78" s="5"/>
      <c r="AG78" s="5"/>
      <c r="AH78" s="8"/>
      <c r="AI78" s="8"/>
      <c r="AJ78" s="8"/>
      <c r="AK78" s="9"/>
      <c r="AL78" s="1"/>
      <c r="AM78" s="9"/>
    </row>
    <row r="79" ht="61.5" spans="1:41">
      <c r="A79" s="88" t="s">
        <v>179</v>
      </c>
      <c r="B79" s="89"/>
      <c r="C79" s="89"/>
      <c r="D79" s="89"/>
      <c r="E79" s="89"/>
      <c r="F79" s="89"/>
      <c r="G79" s="89"/>
      <c r="H79" s="89"/>
      <c r="I79" s="89"/>
      <c r="J79" s="89"/>
      <c r="K79" s="89"/>
      <c r="L79" s="89"/>
      <c r="M79" s="89"/>
      <c r="N79" s="89"/>
      <c r="O79" s="89"/>
      <c r="P79" s="90"/>
      <c r="Q79" s="89"/>
      <c r="R79" s="89"/>
      <c r="S79" s="89"/>
      <c r="T79" s="89"/>
      <c r="U79" s="89"/>
      <c r="V79" s="89"/>
      <c r="W79" s="89"/>
      <c r="X79" s="89"/>
      <c r="Y79" s="89"/>
      <c r="Z79" s="89"/>
      <c r="AA79" s="89"/>
    </row>
    <row r="80" ht="61.5" spans="1:41">
      <c r="A80" s="88" t="s">
        <v>180</v>
      </c>
      <c r="B80" s="89"/>
      <c r="C80" s="89"/>
      <c r="D80" s="89"/>
      <c r="E80" s="89"/>
      <c r="F80" s="89"/>
      <c r="G80" s="89"/>
      <c r="H80" s="89"/>
      <c r="I80" s="89"/>
      <c r="J80" s="89"/>
      <c r="K80" s="89"/>
      <c r="L80" s="89"/>
      <c r="M80" s="89"/>
      <c r="N80" s="89"/>
      <c r="O80" s="89"/>
      <c r="P80" s="90"/>
      <c r="Q80" s="89"/>
      <c r="R80" s="89"/>
      <c r="S80" s="89"/>
      <c r="T80" s="89"/>
      <c r="U80" s="89"/>
      <c r="V80" s="89"/>
      <c r="W80" s="89"/>
      <c r="X80" s="89"/>
      <c r="Y80" s="89"/>
      <c r="Z80" s="89"/>
      <c r="AA80" s="89"/>
    </row>
    <row r="81" s="1" customFormat="1" ht="61.5" spans="1:39">
      <c r="A81" s="88" t="s">
        <v>181</v>
      </c>
      <c r="B81" s="89"/>
      <c r="C81" s="89"/>
      <c r="D81" s="89"/>
      <c r="E81" s="89"/>
      <c r="F81" s="89"/>
      <c r="G81" s="89"/>
      <c r="H81" s="89"/>
      <c r="I81" s="89"/>
      <c r="J81" s="89"/>
      <c r="K81" s="89"/>
      <c r="L81" s="89"/>
      <c r="M81" s="89"/>
      <c r="N81" s="89"/>
      <c r="O81" s="89"/>
      <c r="P81" s="90"/>
      <c r="Q81" s="89"/>
      <c r="R81" s="89"/>
      <c r="S81" s="89"/>
      <c r="T81" s="89"/>
      <c r="U81" s="89"/>
      <c r="V81" s="89"/>
      <c r="W81" s="89"/>
      <c r="X81" s="89"/>
      <c r="Y81" s="89"/>
      <c r="Z81" s="89"/>
      <c r="AA81" s="89"/>
      <c r="AB81" s="7"/>
      <c r="AC81" s="7"/>
      <c r="AD81" s="5"/>
      <c r="AE81" s="5"/>
      <c r="AF81" s="5"/>
      <c r="AG81" s="5"/>
      <c r="AH81" s="8"/>
      <c r="AI81" s="8"/>
      <c r="AJ81" s="8"/>
      <c r="AK81" s="9"/>
      <c r="AL81" s="1"/>
      <c r="AM81" s="9"/>
    </row>
    <row r="82" s="1" customFormat="1" ht="61.5" spans="1:39">
      <c r="A82" s="88" t="s">
        <v>182</v>
      </c>
      <c r="B82" s="89"/>
      <c r="C82" s="89"/>
      <c r="D82" s="89"/>
      <c r="E82" s="89"/>
      <c r="F82" s="89"/>
      <c r="G82" s="89"/>
      <c r="H82" s="89"/>
      <c r="I82" s="89"/>
      <c r="J82" s="89"/>
      <c r="K82" s="89"/>
      <c r="L82" s="89"/>
      <c r="M82" s="89"/>
      <c r="N82" s="89"/>
      <c r="O82" s="89"/>
      <c r="P82" s="90"/>
      <c r="Q82" s="89"/>
      <c r="R82" s="89"/>
      <c r="S82" s="89"/>
      <c r="T82" s="89"/>
      <c r="U82" s="89"/>
      <c r="V82" s="89"/>
      <c r="W82" s="89"/>
      <c r="X82" s="89"/>
      <c r="Y82" s="89"/>
      <c r="Z82" s="89"/>
      <c r="AA82" s="89"/>
      <c r="AB82" s="7"/>
      <c r="AC82" s="7"/>
      <c r="AD82" s="5"/>
      <c r="AE82" s="5"/>
      <c r="AF82" s="5"/>
      <c r="AG82" s="5"/>
      <c r="AH82" s="8"/>
      <c r="AI82" s="8"/>
      <c r="AJ82" s="8"/>
      <c r="AK82" s="9"/>
      <c r="AL82" s="1"/>
      <c r="AM82" s="9"/>
    </row>
    <row r="83" s="1" customFormat="1" ht="61.5" spans="1:39">
      <c r="A83" s="88" t="s">
        <v>183</v>
      </c>
      <c r="B83" s="89"/>
      <c r="C83" s="89"/>
      <c r="D83" s="89"/>
      <c r="E83" s="89"/>
      <c r="F83" s="89"/>
      <c r="G83" s="89"/>
      <c r="H83" s="89"/>
      <c r="I83" s="89"/>
      <c r="J83" s="89"/>
      <c r="K83" s="89"/>
      <c r="L83" s="89"/>
      <c r="M83" s="89"/>
      <c r="N83" s="89"/>
      <c r="O83" s="89"/>
      <c r="P83" s="90"/>
      <c r="Q83" s="89"/>
      <c r="R83" s="89"/>
      <c r="S83" s="89"/>
      <c r="T83" s="89"/>
      <c r="U83" s="89"/>
      <c r="V83" s="89"/>
      <c r="W83" s="89"/>
      <c r="X83" s="89"/>
      <c r="Y83" s="89"/>
      <c r="Z83" s="89"/>
      <c r="AA83" s="89"/>
      <c r="AB83" s="7"/>
      <c r="AC83" s="7"/>
      <c r="AD83" s="5"/>
      <c r="AE83" s="5"/>
      <c r="AF83" s="5"/>
      <c r="AG83" s="5"/>
      <c r="AH83" s="8"/>
      <c r="AI83" s="8"/>
      <c r="AJ83" s="8"/>
      <c r="AK83" s="9"/>
      <c r="AL83" s="1"/>
      <c r="AM83" s="9"/>
    </row>
    <row r="84" s="1" customFormat="1" ht="61.5" spans="1:39">
      <c r="A84" s="88" t="s">
        <v>184</v>
      </c>
      <c r="B84" s="89"/>
      <c r="C84" s="89"/>
      <c r="D84" s="89"/>
      <c r="E84" s="89"/>
      <c r="F84" s="89"/>
      <c r="G84" s="89"/>
      <c r="H84" s="89"/>
      <c r="I84" s="89"/>
      <c r="J84" s="89"/>
      <c r="K84" s="89"/>
      <c r="L84" s="89"/>
      <c r="M84" s="89"/>
      <c r="N84" s="89"/>
      <c r="O84" s="89"/>
      <c r="P84" s="90"/>
      <c r="Q84" s="89"/>
      <c r="R84" s="89"/>
      <c r="S84" s="89"/>
      <c r="T84" s="89"/>
      <c r="U84" s="89"/>
      <c r="V84" s="89"/>
      <c r="W84" s="89"/>
      <c r="X84" s="89"/>
      <c r="Y84" s="89"/>
      <c r="Z84" s="89"/>
      <c r="AA84" s="89"/>
      <c r="AB84" s="7"/>
      <c r="AC84" s="7"/>
      <c r="AD84" s="5"/>
      <c r="AE84" s="5"/>
      <c r="AF84" s="5"/>
      <c r="AG84" s="5"/>
      <c r="AH84" s="8"/>
      <c r="AI84" s="8"/>
      <c r="AJ84" s="8"/>
      <c r="AK84" s="9"/>
      <c r="AL84" s="1"/>
      <c r="AM84" s="9"/>
    </row>
    <row r="85" s="1" customFormat="1" ht="72" customHeight="1" spans="1:39">
      <c r="A85" s="96" t="s">
        <v>185</v>
      </c>
      <c r="B85" s="97"/>
      <c r="C85" s="97"/>
      <c r="D85" s="97"/>
      <c r="E85" s="97"/>
      <c r="F85" s="97"/>
      <c r="G85" s="97"/>
      <c r="H85" s="97"/>
      <c r="I85" s="97"/>
      <c r="J85" s="97"/>
      <c r="K85" s="97"/>
      <c r="L85" s="97"/>
      <c r="M85" s="97"/>
      <c r="N85" s="97"/>
      <c r="O85" s="97"/>
      <c r="P85" s="98"/>
      <c r="Q85" s="97"/>
      <c r="R85" s="97"/>
      <c r="S85" s="97"/>
      <c r="T85" s="97"/>
      <c r="U85" s="97"/>
      <c r="V85" s="97"/>
      <c r="W85" s="97"/>
      <c r="X85" s="97"/>
      <c r="Y85" s="97"/>
      <c r="Z85" s="97"/>
      <c r="AA85" s="97"/>
      <c r="AB85" s="7"/>
      <c r="AC85" s="7"/>
      <c r="AD85" s="5"/>
      <c r="AE85" s="5"/>
      <c r="AF85" s="5"/>
      <c r="AG85" s="5"/>
      <c r="AH85" s="8"/>
      <c r="AI85" s="8"/>
      <c r="AJ85" s="8"/>
      <c r="AK85" s="94"/>
      <c r="AL85" s="1"/>
      <c r="AM85" s="94"/>
    </row>
    <row r="86" s="1" customFormat="1" ht="61.5" spans="1:39">
      <c r="A86" s="99" t="s">
        <v>186</v>
      </c>
      <c r="B86" s="100"/>
      <c r="C86" s="100"/>
      <c r="D86" s="100"/>
      <c r="E86" s="100"/>
      <c r="F86" s="100"/>
      <c r="G86" s="100"/>
      <c r="H86" s="100"/>
      <c r="I86" s="100"/>
      <c r="J86" s="100"/>
      <c r="K86" s="100"/>
      <c r="L86" s="100"/>
      <c r="M86" s="100"/>
      <c r="N86" s="100"/>
      <c r="O86" s="100"/>
      <c r="P86" s="101"/>
      <c r="Q86" s="100"/>
      <c r="R86" s="100"/>
      <c r="S86" s="100"/>
      <c r="T86" s="100"/>
      <c r="U86" s="100"/>
      <c r="V86" s="100"/>
      <c r="W86" s="100"/>
      <c r="X86" s="100"/>
      <c r="Y86" s="100"/>
      <c r="Z86" s="100"/>
      <c r="AA86" s="100"/>
      <c r="AB86" s="7"/>
      <c r="AC86" s="7"/>
      <c r="AD86" s="5"/>
      <c r="AE86" s="5"/>
      <c r="AF86" s="5"/>
      <c r="AG86" s="5"/>
      <c r="AH86" s="8"/>
      <c r="AI86" s="8"/>
      <c r="AJ86" s="8"/>
      <c r="AK86" s="9"/>
      <c r="AL86" s="1"/>
      <c r="AM86" s="9"/>
    </row>
    <row r="87" s="1" customFormat="1" ht="61.5" spans="1:39">
      <c r="A87" s="99" t="s">
        <v>187</v>
      </c>
      <c r="B87" s="100"/>
      <c r="C87" s="100"/>
      <c r="D87" s="100"/>
      <c r="E87" s="100"/>
      <c r="F87" s="100"/>
      <c r="G87" s="100"/>
      <c r="H87" s="100"/>
      <c r="I87" s="100"/>
      <c r="J87" s="100"/>
      <c r="K87" s="100"/>
      <c r="L87" s="100"/>
      <c r="M87" s="100"/>
      <c r="N87" s="100"/>
      <c r="O87" s="100"/>
      <c r="P87" s="101"/>
      <c r="Q87" s="100"/>
      <c r="R87" s="100"/>
      <c r="S87" s="100"/>
      <c r="T87" s="100"/>
      <c r="U87" s="100"/>
      <c r="V87" s="100"/>
      <c r="W87" s="100"/>
      <c r="X87" s="100"/>
      <c r="Y87" s="100"/>
      <c r="Z87" s="100"/>
      <c r="AA87" s="100"/>
      <c r="AB87" s="7"/>
      <c r="AC87" s="7"/>
      <c r="AD87" s="5"/>
      <c r="AE87" s="5"/>
      <c r="AF87" s="5"/>
      <c r="AG87" s="5"/>
      <c r="AH87" s="8"/>
      <c r="AI87" s="8"/>
      <c r="AJ87" s="8"/>
      <c r="AK87" s="102"/>
      <c r="AL87" s="1"/>
      <c r="AM87" s="102"/>
    </row>
    <row r="88" ht="61.5" spans="1:39">
      <c r="A88" s="88" t="s">
        <v>188</v>
      </c>
      <c r="B88" s="89"/>
      <c r="C88" s="89"/>
      <c r="D88" s="89"/>
      <c r="E88" s="89"/>
      <c r="F88" s="89"/>
      <c r="G88" s="89"/>
      <c r="H88" s="89"/>
      <c r="I88" s="89"/>
      <c r="J88" s="89"/>
      <c r="K88" s="89"/>
      <c r="L88" s="89"/>
      <c r="M88" s="89"/>
      <c r="N88" s="89"/>
      <c r="O88" s="89"/>
      <c r="P88" s="90"/>
      <c r="Q88" s="89"/>
      <c r="R88" s="89"/>
      <c r="S88" s="89"/>
      <c r="T88" s="89"/>
      <c r="U88" s="89"/>
      <c r="V88" s="89"/>
      <c r="W88" s="89"/>
      <c r="X88" s="89"/>
      <c r="Y88" s="89"/>
      <c r="Z88" s="89"/>
      <c r="AA88" s="89"/>
    </row>
  </sheetData>
  <autoFilter xmlns:etc="http://www.wps.cn/officeDocument/2017/etCustomData" ref="A6:AN88" etc:filterBottomFollowUsedRange="0">
    <extLst/>
  </autoFilter>
  <mergeCells count="71">
    <mergeCell ref="A1:AM1"/>
    <mergeCell ref="A2:AM2"/>
    <mergeCell ref="K3:O3"/>
    <mergeCell ref="P3:U3"/>
    <mergeCell ref="V3:AA3"/>
    <mergeCell ref="AB3:AG3"/>
    <mergeCell ref="L4:O4"/>
    <mergeCell ref="V4:X4"/>
    <mergeCell ref="Y4:AA4"/>
    <mergeCell ref="M5:N5"/>
    <mergeCell ref="A66:AA66"/>
    <mergeCell ref="A67:AA67"/>
    <mergeCell ref="A68:AA68"/>
    <mergeCell ref="A69:AA69"/>
    <mergeCell ref="A70:AA70"/>
    <mergeCell ref="A71:AA71"/>
    <mergeCell ref="A72:AA72"/>
    <mergeCell ref="A73:AA73"/>
    <mergeCell ref="A74:AA74"/>
    <mergeCell ref="A75:AA75"/>
    <mergeCell ref="A76:AA76"/>
    <mergeCell ref="A77:AA77"/>
    <mergeCell ref="A78:AA78"/>
    <mergeCell ref="A79:AA79"/>
    <mergeCell ref="A80:AA80"/>
    <mergeCell ref="A81:AA81"/>
    <mergeCell ref="A82:AA82"/>
    <mergeCell ref="A83:AA83"/>
    <mergeCell ref="A84:AA84"/>
    <mergeCell ref="A85:AA85"/>
    <mergeCell ref="A86:AA86"/>
    <mergeCell ref="A87:AA87"/>
    <mergeCell ref="A88:AA88"/>
    <mergeCell ref="A3:A6"/>
    <mergeCell ref="B3:B6"/>
    <mergeCell ref="C3:C6"/>
    <mergeCell ref="D3:D6"/>
    <mergeCell ref="E3:E6"/>
    <mergeCell ref="F3:F6"/>
    <mergeCell ref="G3:G6"/>
    <mergeCell ref="H3:H6"/>
    <mergeCell ref="I3:I6"/>
    <mergeCell ref="J3:J6"/>
    <mergeCell ref="K4:K6"/>
    <mergeCell ref="L5:L6"/>
    <mergeCell ref="O5:O6"/>
    <mergeCell ref="P4:P6"/>
    <mergeCell ref="Q4:Q6"/>
    <mergeCell ref="R4:R6"/>
    <mergeCell ref="S4:S6"/>
    <mergeCell ref="T4:T6"/>
    <mergeCell ref="U4:U6"/>
    <mergeCell ref="V5:V6"/>
    <mergeCell ref="W5:W6"/>
    <mergeCell ref="X5:X6"/>
    <mergeCell ref="Y5:Y6"/>
    <mergeCell ref="Z5:Z6"/>
    <mergeCell ref="AA5:AA6"/>
    <mergeCell ref="AB4:AB6"/>
    <mergeCell ref="AC4:AC6"/>
    <mergeCell ref="AD4:AD6"/>
    <mergeCell ref="AE4:AE6"/>
    <mergeCell ref="AF4:AF6"/>
    <mergeCell ref="AG4:AG6"/>
    <mergeCell ref="AH3:AH6"/>
    <mergeCell ref="AI3:AI6"/>
    <mergeCell ref="AJ3:AJ6"/>
    <mergeCell ref="AK3:AK6"/>
    <mergeCell ref="AL3:AL6"/>
    <mergeCell ref="AM3:AM6"/>
    <mergeCell ref="AN3:AN6"/>
  </mergeCells>
  <dataValidations count="3">
    <dataValidation type="list" allowBlank="1" showInputMessage="1" showErrorMessage="1" sqref="C1:C64 C66:C65569">
      <formula1>"06010000A-房屋和构筑物,06020000A-设备,06030000A-图书和档案,06040000A-家具和用具,06990000A-其他固定资产"</formula1>
    </dataValidation>
    <dataValidation type="list" allowBlank="1" showInputMessage="1" showErrorMessage="1" sqref="F1:F64 F66:F65569">
      <formula1>"自购,自建,接受捐赠,盘盈,上级拨入,非货币性交换,其他"</formula1>
    </dataValidation>
    <dataValidation type="list" allowBlank="1" showInputMessage="1" showErrorMessage="1" sqref="G1:G64 G66:G65569 AH1:AH64 AH66:AH1048576">
      <formula1>"是,否"</formula1>
    </dataValidation>
  </dataValidations>
  <pageMargins left="0" right="0.236111111111111" top="0" bottom="0" header="0.5" footer="0.5"/>
  <pageSetup paperSize="9" scale="1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固定资产清查登记表-1（经营性固定资产）信息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soul</cp:lastModifiedBy>
  <dcterms:created xsi:type="dcterms:W3CDTF">2020-03-31T16:55:00Z</dcterms:created>
  <dcterms:modified xsi:type="dcterms:W3CDTF">2026-10-26T06:54:21Z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0CFD4A38D8DC4716ABC18D48C2503FB6_13</vt:lpwstr>
  </property>
  <property fmtid="{D5CDD505-2E9C-101B-9397-08002B2CF9AE}" pid="4" name="CalculationRule">
    <vt:i4>0</vt:i4>
  </property>
</Properties>
</file>